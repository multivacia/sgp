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netorgft12836121-my.sharepoint.com/personal/vagner_ribeiro_dorfazedoria_com/Documents/D´OR Fazedoria/03 Clientes/BRAVO/Esteiras/Upgrade/"/>
    </mc:Choice>
  </mc:AlternateContent>
  <xr:revisionPtr revIDLastSave="2561" documentId="8_{E6ED69F4-C81F-4E80-9D60-74B99C101863}" xr6:coauthVersionLast="47" xr6:coauthVersionMax="47" xr10:uidLastSave="{DE0086F0-48A0-4120-8234-7C7684E8B117}"/>
  <bookViews>
    <workbookView xWindow="38280" yWindow="-120" windowWidth="29040" windowHeight="15720" activeTab="2" xr2:uid="{50D57386-BE3A-4606-8A86-A5B280717286}"/>
  </bookViews>
  <sheets>
    <sheet name="Planilha1" sheetId="10" r:id="rId1"/>
    <sheet name="GERENCIAMENTO" sheetId="7" r:id="rId2"/>
    <sheet name="ATIVIDADES E APONTAMENTOS" sheetId="6" r:id="rId3"/>
    <sheet name="Colaboradores" sheetId="8" r:id="rId4"/>
    <sheet name="PRG01" sheetId="3" r:id="rId5"/>
    <sheet name="PRG02" sheetId="9" r:id="rId6"/>
  </sheets>
  <definedNames>
    <definedName name="_xlnm._FilterDatabase" localSheetId="2" hidden="1">'ATIVIDADES E APONTAMENTOS'!$A$1:$G$270</definedName>
    <definedName name="_xlnm._FilterDatabase" localSheetId="4" hidden="1">'PRG01'!$F$1:$L$501</definedName>
  </definedNames>
  <calcPr calcId="191029"/>
  <pivotCaches>
    <pivotCache cacheId="91" r:id="rId7"/>
    <pivotCache cacheId="96" r:id="rId8"/>
    <pivotCache cacheId="10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8" i="6" l="1"/>
  <c r="E179" i="6"/>
  <c r="E180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C13" i="7" l="1"/>
  <c r="C41" i="7"/>
  <c r="C25" i="7"/>
  <c r="C37" i="7"/>
  <c r="C40" i="7"/>
  <c r="G11" i="7"/>
  <c r="C24" i="7"/>
  <c r="C36" i="7"/>
  <c r="C39" i="7"/>
  <c r="C35" i="7"/>
  <c r="C23" i="7"/>
  <c r="C38" i="7"/>
  <c r="C33" i="7"/>
  <c r="G17" i="7"/>
  <c r="C32" i="7"/>
  <c r="C31" i="7"/>
  <c r="C30" i="7"/>
  <c r="C29" i="7"/>
  <c r="C28" i="7"/>
  <c r="C27" i="7"/>
  <c r="C42" i="7"/>
  <c r="C26" i="7"/>
  <c r="C34" i="7"/>
  <c r="G15" i="7" l="1"/>
  <c r="E10" i="6"/>
  <c r="D40" i="7"/>
  <c r="D41" i="7"/>
  <c r="D42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23" i="7"/>
  <c r="E6" i="6"/>
  <c r="E7" i="6"/>
  <c r="E8" i="6"/>
  <c r="E9" i="6"/>
  <c r="E265" i="6"/>
  <c r="E266" i="6"/>
  <c r="E267" i="6"/>
  <c r="E268" i="6"/>
  <c r="E269" i="6"/>
  <c r="A265" i="6"/>
  <c r="A266" i="6"/>
  <c r="A267" i="6"/>
  <c r="A268" i="6"/>
  <c r="A269" i="6"/>
  <c r="E248" i="6"/>
  <c r="E249" i="6"/>
  <c r="E250" i="6"/>
  <c r="E251" i="6"/>
  <c r="E252" i="6"/>
  <c r="E253" i="6"/>
  <c r="E254" i="6"/>
  <c r="A248" i="6"/>
  <c r="A249" i="6"/>
  <c r="A250" i="6"/>
  <c r="A251" i="6"/>
  <c r="A252" i="6"/>
  <c r="A253" i="6"/>
  <c r="A254" i="6"/>
  <c r="E231" i="6"/>
  <c r="E232" i="6"/>
  <c r="E233" i="6"/>
  <c r="E234" i="6"/>
  <c r="E235" i="6"/>
  <c r="E236" i="6"/>
  <c r="E237" i="6"/>
  <c r="A231" i="6"/>
  <c r="A232" i="6"/>
  <c r="A233" i="6"/>
  <c r="A234" i="6"/>
  <c r="A235" i="6"/>
  <c r="A236" i="6"/>
  <c r="A237" i="6"/>
  <c r="E217" i="6"/>
  <c r="E218" i="6"/>
  <c r="E219" i="6"/>
  <c r="E220" i="6"/>
  <c r="E221" i="6"/>
  <c r="E222" i="6"/>
  <c r="E223" i="6"/>
  <c r="A217" i="6"/>
  <c r="A218" i="6"/>
  <c r="A219" i="6"/>
  <c r="A220" i="6"/>
  <c r="A221" i="6"/>
  <c r="A222" i="6"/>
  <c r="A223" i="6"/>
  <c r="E202" i="6"/>
  <c r="E203" i="6"/>
  <c r="E204" i="6"/>
  <c r="E205" i="6"/>
  <c r="E206" i="6"/>
  <c r="E207" i="6"/>
  <c r="E208" i="6"/>
  <c r="E209" i="6"/>
  <c r="A202" i="6"/>
  <c r="A203" i="6"/>
  <c r="A204" i="6"/>
  <c r="A205" i="6"/>
  <c r="A206" i="6"/>
  <c r="A207" i="6"/>
  <c r="A208" i="6"/>
  <c r="A209" i="6"/>
  <c r="E181" i="6"/>
  <c r="E182" i="6"/>
  <c r="E183" i="6"/>
  <c r="E184" i="6"/>
  <c r="E185" i="6"/>
  <c r="A178" i="6"/>
  <c r="A179" i="6"/>
  <c r="A180" i="6"/>
  <c r="A181" i="6"/>
  <c r="A182" i="6"/>
  <c r="A183" i="6"/>
  <c r="A184" i="6"/>
  <c r="A185" i="6"/>
  <c r="E160" i="6"/>
  <c r="E161" i="6"/>
  <c r="E162" i="6"/>
  <c r="E163" i="6"/>
  <c r="E164" i="6"/>
  <c r="E165" i="6"/>
  <c r="A160" i="6"/>
  <c r="A161" i="6"/>
  <c r="A162" i="6"/>
  <c r="A163" i="6"/>
  <c r="A164" i="6"/>
  <c r="A165" i="6"/>
  <c r="A148" i="6"/>
  <c r="A149" i="6"/>
  <c r="A150" i="6"/>
  <c r="A151" i="6"/>
  <c r="A152" i="6"/>
  <c r="A153" i="6"/>
  <c r="A154" i="6"/>
  <c r="E148" i="6"/>
  <c r="E149" i="6"/>
  <c r="E150" i="6"/>
  <c r="E151" i="6"/>
  <c r="E152" i="6"/>
  <c r="E153" i="6"/>
  <c r="E154" i="6"/>
  <c r="E126" i="6"/>
  <c r="E127" i="6"/>
  <c r="E128" i="6"/>
  <c r="E129" i="6"/>
  <c r="E130" i="6"/>
  <c r="E131" i="6"/>
  <c r="E132" i="6"/>
  <c r="E133" i="6"/>
  <c r="A126" i="6"/>
  <c r="A127" i="6"/>
  <c r="A128" i="6"/>
  <c r="A129" i="6"/>
  <c r="A130" i="6"/>
  <c r="A131" i="6"/>
  <c r="A132" i="6"/>
  <c r="A133" i="6"/>
  <c r="E112" i="6"/>
  <c r="E113" i="6"/>
  <c r="E114" i="6"/>
  <c r="E115" i="6"/>
  <c r="E116" i="6"/>
  <c r="E117" i="6"/>
  <c r="E118" i="6"/>
  <c r="A112" i="6"/>
  <c r="A113" i="6"/>
  <c r="A114" i="6"/>
  <c r="A115" i="6"/>
  <c r="A116" i="6"/>
  <c r="A117" i="6"/>
  <c r="A118" i="6"/>
  <c r="E98" i="6"/>
  <c r="E99" i="6"/>
  <c r="E100" i="6"/>
  <c r="E101" i="6"/>
  <c r="E102" i="6"/>
  <c r="E103" i="6"/>
  <c r="A98" i="6"/>
  <c r="A99" i="6"/>
  <c r="A100" i="6"/>
  <c r="A101" i="6"/>
  <c r="A102" i="6"/>
  <c r="A103" i="6"/>
  <c r="E85" i="6"/>
  <c r="E86" i="6"/>
  <c r="E87" i="6"/>
  <c r="E88" i="6"/>
  <c r="E89" i="6"/>
  <c r="E90" i="6"/>
  <c r="A85" i="6"/>
  <c r="A86" i="6"/>
  <c r="A87" i="6"/>
  <c r="A88" i="6"/>
  <c r="A89" i="6"/>
  <c r="A90" i="6"/>
  <c r="E44" i="6"/>
  <c r="E45" i="6"/>
  <c r="E46" i="6"/>
  <c r="E47" i="6"/>
  <c r="E48" i="6"/>
  <c r="E49" i="6"/>
  <c r="A44" i="6"/>
  <c r="A45" i="6"/>
  <c r="A46" i="6"/>
  <c r="A47" i="6"/>
  <c r="A48" i="6"/>
  <c r="A49" i="6"/>
  <c r="A70" i="6"/>
  <c r="A71" i="6"/>
  <c r="A72" i="6"/>
  <c r="A73" i="6"/>
  <c r="A74" i="6"/>
  <c r="A75" i="6"/>
  <c r="E70" i="6"/>
  <c r="E71" i="6"/>
  <c r="E72" i="6"/>
  <c r="E73" i="6"/>
  <c r="E74" i="6"/>
  <c r="E75" i="6"/>
  <c r="E69" i="6"/>
  <c r="A69" i="6"/>
  <c r="E11" i="6"/>
  <c r="E12" i="6"/>
  <c r="E13" i="6"/>
  <c r="E14" i="6"/>
  <c r="E15" i="6"/>
  <c r="A9" i="6"/>
  <c r="A10" i="6"/>
  <c r="A11" i="6"/>
  <c r="A12" i="6"/>
  <c r="A13" i="6"/>
  <c r="A14" i="6"/>
  <c r="A15" i="6"/>
  <c r="E30" i="6"/>
  <c r="E31" i="6"/>
  <c r="E32" i="6"/>
  <c r="E33" i="6"/>
  <c r="E34" i="6"/>
  <c r="E35" i="6"/>
  <c r="E36" i="6"/>
  <c r="E62" i="6"/>
  <c r="E63" i="6"/>
  <c r="E64" i="6"/>
  <c r="E65" i="6"/>
  <c r="E66" i="6"/>
  <c r="A30" i="6"/>
  <c r="A31" i="6"/>
  <c r="A32" i="6"/>
  <c r="A33" i="6"/>
  <c r="A34" i="6"/>
  <c r="A35" i="6"/>
  <c r="A36" i="6"/>
  <c r="A62" i="6"/>
  <c r="A63" i="6"/>
  <c r="A64" i="6"/>
  <c r="A65" i="6"/>
  <c r="A66" i="6"/>
  <c r="E53" i="6"/>
  <c r="A53" i="6"/>
  <c r="E52" i="6"/>
  <c r="A52" i="6"/>
  <c r="E51" i="6"/>
  <c r="A51" i="6"/>
  <c r="E50" i="6"/>
  <c r="A50" i="6"/>
  <c r="E55" i="6"/>
  <c r="A55" i="6"/>
  <c r="E54" i="6"/>
  <c r="A54" i="6"/>
  <c r="E19" i="6"/>
  <c r="A19" i="6"/>
  <c r="E18" i="6"/>
  <c r="A18" i="6"/>
  <c r="E17" i="6"/>
  <c r="A17" i="6"/>
  <c r="A16" i="6"/>
  <c r="E21" i="6"/>
  <c r="A21" i="6"/>
  <c r="E20" i="6"/>
  <c r="A20" i="6"/>
  <c r="E22" i="6"/>
  <c r="A22" i="6"/>
  <c r="E23" i="6"/>
  <c r="E24" i="6"/>
  <c r="E25" i="6"/>
  <c r="E40" i="6"/>
  <c r="E42" i="6"/>
  <c r="E43" i="6"/>
  <c r="E56" i="6"/>
  <c r="E57" i="6"/>
  <c r="E60" i="6"/>
  <c r="E61" i="6"/>
  <c r="E67" i="6"/>
  <c r="E68" i="6"/>
  <c r="E76" i="6"/>
  <c r="E77" i="6"/>
  <c r="E78" i="6"/>
  <c r="E79" i="6"/>
  <c r="E80" i="6"/>
  <c r="E81" i="6"/>
  <c r="E82" i="6"/>
  <c r="E83" i="6"/>
  <c r="E84" i="6"/>
  <c r="E94" i="6"/>
  <c r="E95" i="6"/>
  <c r="E96" i="6"/>
  <c r="E97" i="6"/>
  <c r="E108" i="6"/>
  <c r="E109" i="6"/>
  <c r="E110" i="6"/>
  <c r="E111" i="6"/>
  <c r="E119" i="6"/>
  <c r="E120" i="6"/>
  <c r="E121" i="6"/>
  <c r="E122" i="6"/>
  <c r="E123" i="6"/>
  <c r="E124" i="6"/>
  <c r="E125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55" i="6"/>
  <c r="E156" i="6"/>
  <c r="E157" i="6"/>
  <c r="E158" i="6"/>
  <c r="E159" i="6"/>
  <c r="E188" i="6"/>
  <c r="E189" i="6"/>
  <c r="E192" i="6"/>
  <c r="E193" i="6"/>
  <c r="E194" i="6"/>
  <c r="E195" i="6"/>
  <c r="E196" i="6"/>
  <c r="E197" i="6"/>
  <c r="E198" i="6"/>
  <c r="E199" i="6"/>
  <c r="E200" i="6"/>
  <c r="E201" i="6"/>
  <c r="E210" i="6"/>
  <c r="E211" i="6"/>
  <c r="E212" i="6"/>
  <c r="E213" i="6"/>
  <c r="E214" i="6"/>
  <c r="E215" i="6"/>
  <c r="E216" i="6"/>
  <c r="E224" i="6"/>
  <c r="E225" i="6"/>
  <c r="E226" i="6"/>
  <c r="E227" i="6"/>
  <c r="E228" i="6"/>
  <c r="E229" i="6"/>
  <c r="E230" i="6"/>
  <c r="E238" i="6"/>
  <c r="E239" i="6"/>
  <c r="E240" i="6"/>
  <c r="E241" i="6"/>
  <c r="E242" i="6"/>
  <c r="E243" i="6"/>
  <c r="E244" i="6"/>
  <c r="E245" i="6"/>
  <c r="E246" i="6"/>
  <c r="E247" i="6"/>
  <c r="E255" i="6"/>
  <c r="E256" i="6"/>
  <c r="E257" i="6"/>
  <c r="E258" i="6"/>
  <c r="E259" i="6"/>
  <c r="E260" i="6"/>
  <c r="E261" i="6"/>
  <c r="E262" i="6"/>
  <c r="E263" i="6"/>
  <c r="E264" i="6"/>
  <c r="E270" i="6"/>
  <c r="L16" i="3"/>
  <c r="L17" i="3"/>
  <c r="L18" i="3"/>
  <c r="L19" i="3"/>
  <c r="L20" i="3"/>
  <c r="L21" i="3"/>
  <c r="L22" i="3"/>
  <c r="L23" i="3"/>
  <c r="L24" i="3"/>
  <c r="L25" i="3"/>
  <c r="L26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65" i="3"/>
  <c r="L66" i="3"/>
  <c r="L67" i="3"/>
  <c r="L68" i="3"/>
  <c r="L69" i="3"/>
  <c r="L70" i="3"/>
  <c r="L71" i="3"/>
  <c r="L72" i="3"/>
  <c r="L73" i="3"/>
  <c r="L74" i="3"/>
  <c r="L75" i="3"/>
  <c r="L76" i="3"/>
  <c r="L90" i="3"/>
  <c r="L91" i="3"/>
  <c r="L92" i="3"/>
  <c r="L93" i="3"/>
  <c r="L94" i="3"/>
  <c r="L95" i="3"/>
  <c r="L96" i="3"/>
  <c r="L97" i="3"/>
  <c r="L98" i="3"/>
  <c r="L99" i="3"/>
  <c r="L100" i="3"/>
  <c r="L101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92" i="3"/>
  <c r="L193" i="3"/>
  <c r="L194" i="3"/>
  <c r="L195" i="3"/>
  <c r="L196" i="3"/>
  <c r="L197" i="3"/>
  <c r="L198" i="3"/>
  <c r="L199" i="3"/>
  <c r="L200" i="3"/>
  <c r="L201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42" i="3"/>
  <c r="L243" i="3"/>
  <c r="L244" i="3"/>
  <c r="L245" i="3"/>
  <c r="L246" i="3"/>
  <c r="L247" i="3"/>
  <c r="L248" i="3"/>
  <c r="L249" i="3"/>
  <c r="L250" i="3"/>
  <c r="L251" i="3"/>
  <c r="L267" i="3"/>
  <c r="L268" i="3"/>
  <c r="L269" i="3"/>
  <c r="L270" i="3"/>
  <c r="L271" i="3"/>
  <c r="L272" i="3"/>
  <c r="L273" i="3"/>
  <c r="L274" i="3"/>
  <c r="L275" i="3"/>
  <c r="L276" i="3"/>
  <c r="L298" i="3"/>
  <c r="L299" i="3"/>
  <c r="L300" i="3"/>
  <c r="L301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47" i="3"/>
  <c r="L348" i="3"/>
  <c r="L349" i="3"/>
  <c r="L350" i="3"/>
  <c r="L351" i="3"/>
  <c r="L376" i="3"/>
  <c r="L393" i="3"/>
  <c r="L394" i="3"/>
  <c r="L395" i="3"/>
  <c r="L396" i="3"/>
  <c r="L397" i="3"/>
  <c r="L398" i="3"/>
  <c r="L399" i="3"/>
  <c r="L400" i="3"/>
  <c r="L401" i="3"/>
  <c r="L416" i="3"/>
  <c r="L417" i="3"/>
  <c r="L418" i="3"/>
  <c r="L419" i="3"/>
  <c r="L420" i="3"/>
  <c r="L421" i="3"/>
  <c r="L422" i="3"/>
  <c r="L423" i="3"/>
  <c r="L424" i="3"/>
  <c r="L425" i="3"/>
  <c r="L426" i="3"/>
  <c r="L444" i="3"/>
  <c r="L445" i="3"/>
  <c r="L446" i="3"/>
  <c r="L447" i="3"/>
  <c r="L448" i="3"/>
  <c r="L449" i="3"/>
  <c r="L450" i="3"/>
  <c r="L451" i="3"/>
  <c r="L467" i="3"/>
  <c r="L468" i="3"/>
  <c r="L469" i="3"/>
  <c r="L470" i="3"/>
  <c r="L471" i="3"/>
  <c r="L472" i="3"/>
  <c r="L473" i="3"/>
  <c r="L474" i="3"/>
  <c r="L475" i="3"/>
  <c r="L47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A270" i="6"/>
  <c r="A255" i="6"/>
  <c r="A256" i="6"/>
  <c r="A257" i="6"/>
  <c r="A258" i="6"/>
  <c r="A259" i="6"/>
  <c r="A260" i="6"/>
  <c r="A261" i="6"/>
  <c r="A262" i="6"/>
  <c r="A263" i="6"/>
  <c r="A264" i="6"/>
  <c r="A241" i="6"/>
  <c r="A242" i="6"/>
  <c r="A243" i="6"/>
  <c r="A244" i="6"/>
  <c r="A245" i="6"/>
  <c r="A246" i="6"/>
  <c r="A247" i="6"/>
  <c r="G9" i="7"/>
  <c r="G19" i="7" l="1"/>
  <c r="G13" i="7"/>
  <c r="A240" i="6"/>
  <c r="A239" i="6"/>
  <c r="A238" i="6"/>
  <c r="A230" i="6"/>
  <c r="A229" i="6"/>
  <c r="A228" i="6"/>
  <c r="A227" i="6"/>
  <c r="A226" i="6"/>
  <c r="A225" i="6"/>
  <c r="A224" i="6"/>
  <c r="A216" i="6"/>
  <c r="A215" i="6"/>
  <c r="A214" i="6"/>
  <c r="A213" i="6"/>
  <c r="A212" i="6"/>
  <c r="A211" i="6"/>
  <c r="A210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59" i="6"/>
  <c r="A158" i="6"/>
  <c r="A157" i="6"/>
  <c r="A156" i="6"/>
  <c r="A155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25" i="6"/>
  <c r="A124" i="6"/>
  <c r="A123" i="6"/>
  <c r="A122" i="6"/>
  <c r="A121" i="6"/>
  <c r="A120" i="6"/>
  <c r="A119" i="6"/>
  <c r="A111" i="6"/>
  <c r="A110" i="6"/>
  <c r="A109" i="6"/>
  <c r="A108" i="6"/>
  <c r="A107" i="6"/>
  <c r="A106" i="6"/>
  <c r="A105" i="6"/>
  <c r="A104" i="6"/>
  <c r="A97" i="6"/>
  <c r="A96" i="6"/>
  <c r="A95" i="6"/>
  <c r="A94" i="6"/>
  <c r="A93" i="6"/>
  <c r="A92" i="6"/>
  <c r="A91" i="6"/>
  <c r="A84" i="6"/>
  <c r="A83" i="6"/>
  <c r="A82" i="6"/>
  <c r="A81" i="6"/>
  <c r="A80" i="6"/>
  <c r="A79" i="6"/>
  <c r="A78" i="6"/>
  <c r="A77" i="6"/>
  <c r="A76" i="6"/>
  <c r="A68" i="6"/>
  <c r="A67" i="6"/>
  <c r="A61" i="6"/>
  <c r="A60" i="6"/>
  <c r="A59" i="6"/>
  <c r="A58" i="6"/>
  <c r="A57" i="6"/>
  <c r="A56" i="6"/>
  <c r="A43" i="6"/>
  <c r="A42" i="6"/>
  <c r="A41" i="6"/>
  <c r="A40" i="6"/>
  <c r="A39" i="6"/>
  <c r="A38" i="6"/>
  <c r="A37" i="6"/>
  <c r="A29" i="6"/>
  <c r="A28" i="6"/>
  <c r="A27" i="6"/>
  <c r="A26" i="6"/>
  <c r="A25" i="6"/>
  <c r="A24" i="6"/>
  <c r="A23" i="6"/>
  <c r="A8" i="6"/>
  <c r="A7" i="6"/>
  <c r="A6" i="6"/>
  <c r="A5" i="6"/>
  <c r="A4" i="6"/>
  <c r="A3" i="6"/>
  <c r="A2" i="6"/>
  <c r="G5" i="3" l="1" a="1"/>
  <c r="G5" i="3" s="1"/>
  <c r="G491" i="3" a="1"/>
  <c r="G491" i="3" s="1"/>
  <c r="G456" i="3" a="1"/>
  <c r="G456" i="3" s="1"/>
  <c r="G472" i="3" a="1"/>
  <c r="G472" i="3" s="1"/>
  <c r="G438" i="3" a="1"/>
  <c r="G403" i="3" a="1"/>
  <c r="G403" i="3" s="1"/>
  <c r="G419" i="3" a="1"/>
  <c r="G419" i="3" s="1"/>
  <c r="G385" i="3" a="1"/>
  <c r="G385" i="3" s="1"/>
  <c r="G400" i="3" a="1"/>
  <c r="G400" i="3" s="1"/>
  <c r="G366" i="3" a="1"/>
  <c r="G366" i="3" s="1"/>
  <c r="G331" i="3" a="1"/>
  <c r="G331" i="3" s="1"/>
  <c r="G345" i="3" a="1"/>
  <c r="G111" i="3" a="1"/>
  <c r="G111" i="3" s="1"/>
  <c r="G102" i="3" a="1"/>
  <c r="G102" i="3" s="1"/>
  <c r="G479" i="3" a="1"/>
  <c r="G479" i="3" s="1"/>
  <c r="G494" i="3" a="1"/>
  <c r="G494" i="3" s="1"/>
  <c r="G459" i="3" a="1"/>
  <c r="G459" i="3" s="1"/>
  <c r="G475" i="3" a="1"/>
  <c r="G475" i="3" s="1"/>
  <c r="G406" i="3" a="1"/>
  <c r="G406" i="3" s="1"/>
  <c r="G422" i="3" a="1"/>
  <c r="G422" i="3" s="1"/>
  <c r="G388" i="3" a="1"/>
  <c r="G388" i="3" s="1"/>
  <c r="G369" i="3" a="1"/>
  <c r="G334" i="3" a="1"/>
  <c r="G334" i="3" s="1"/>
  <c r="G114" i="3" a="1"/>
  <c r="G114" i="3" s="1"/>
  <c r="G407" i="3" a="1"/>
  <c r="G407" i="3" s="1"/>
  <c r="G115" i="3" a="1"/>
  <c r="G115" i="3" s="1"/>
  <c r="G443" i="3" a="1"/>
  <c r="G350" i="3" a="1"/>
  <c r="G350" i="3" s="1"/>
  <c r="G486" i="3" a="1"/>
  <c r="G486" i="3" s="1"/>
  <c r="G467" i="3" a="1"/>
  <c r="G467" i="3" s="1"/>
  <c r="G433" i="3" a="1"/>
  <c r="G433" i="3" s="1"/>
  <c r="G448" i="3" a="1"/>
  <c r="G448" i="3" s="1"/>
  <c r="G414" i="3" a="1"/>
  <c r="G361" i="3" a="1"/>
  <c r="G361" i="3" s="1"/>
  <c r="G122" i="3" a="1"/>
  <c r="G122" i="3" s="1"/>
  <c r="G487" i="3" a="1"/>
  <c r="G487" i="3" s="1"/>
  <c r="G468" i="3" a="1"/>
  <c r="G468" i="3" s="1"/>
  <c r="G434" i="3" a="1"/>
  <c r="G434" i="3" s="1"/>
  <c r="G449" i="3" a="1"/>
  <c r="G449" i="3" s="1"/>
  <c r="G415" i="3" a="1"/>
  <c r="G396" i="3" a="1"/>
  <c r="G396" i="3" s="1"/>
  <c r="G341" i="3" a="1"/>
  <c r="G123" i="3" a="1"/>
  <c r="G123" i="3" s="1"/>
  <c r="G488" i="3" a="1"/>
  <c r="G488" i="3" s="1"/>
  <c r="G469" i="3" a="1"/>
  <c r="G469" i="3" s="1"/>
  <c r="G435" i="3" a="1"/>
  <c r="G435" i="3" s="1"/>
  <c r="G450" i="3" a="1"/>
  <c r="G450" i="3" s="1"/>
  <c r="G416" i="3" a="1"/>
  <c r="G416" i="3" s="1"/>
  <c r="G397" i="3" a="1"/>
  <c r="G397" i="3" s="1"/>
  <c r="G328" i="3" a="1"/>
  <c r="G328" i="3" s="1"/>
  <c r="G108" i="3" a="1"/>
  <c r="G108" i="3" s="1"/>
  <c r="G489" i="3" a="1"/>
  <c r="G489" i="3" s="1"/>
  <c r="G470" i="3" a="1"/>
  <c r="G470" i="3" s="1"/>
  <c r="G451" i="3" a="1"/>
  <c r="G451" i="3" s="1"/>
  <c r="G383" i="3" a="1"/>
  <c r="G383" i="3" s="1"/>
  <c r="G364" i="3" a="1"/>
  <c r="G364" i="3" s="1"/>
  <c r="G343" i="3" a="1"/>
  <c r="G490" i="3" a="1"/>
  <c r="G490" i="3" s="1"/>
  <c r="G471" i="3" a="1"/>
  <c r="G471" i="3" s="1"/>
  <c r="G437" i="3" a="1"/>
  <c r="G418" i="3" a="1"/>
  <c r="G418" i="3" s="1"/>
  <c r="G399" i="3" a="1"/>
  <c r="G399" i="3" s="1"/>
  <c r="G330" i="3" a="1"/>
  <c r="G330" i="3" s="1"/>
  <c r="G126" i="3" a="1"/>
  <c r="G126" i="3" s="1"/>
  <c r="G501" i="3" a="1"/>
  <c r="G501" i="3" s="1"/>
  <c r="G492" i="3" a="1"/>
  <c r="G492" i="3" s="1"/>
  <c r="G457" i="3" a="1"/>
  <c r="G457" i="3" s="1"/>
  <c r="G473" i="3" a="1"/>
  <c r="G473" i="3" s="1"/>
  <c r="G439" i="3" a="1"/>
  <c r="G404" i="3" a="1"/>
  <c r="G404" i="3" s="1"/>
  <c r="G420" i="3" a="1"/>
  <c r="G420" i="3" s="1"/>
  <c r="G386" i="3" a="1"/>
  <c r="G386" i="3" s="1"/>
  <c r="G401" i="3" a="1"/>
  <c r="G401" i="3" s="1"/>
  <c r="G367" i="3" a="1"/>
  <c r="G367" i="3" s="1"/>
  <c r="G332" i="3" a="1"/>
  <c r="G332" i="3" s="1"/>
  <c r="G346" i="3" a="1"/>
  <c r="G112" i="3" a="1"/>
  <c r="G112" i="3" s="1"/>
  <c r="G441" i="3" a="1"/>
  <c r="G353" i="3" a="1"/>
  <c r="G353" i="3" s="1"/>
  <c r="G348" i="3" a="1"/>
  <c r="G348" i="3" s="1"/>
  <c r="G480" i="3" a="1"/>
  <c r="G480" i="3" s="1"/>
  <c r="G495" i="3" a="1"/>
  <c r="G495" i="3" s="1"/>
  <c r="G460" i="3" a="1"/>
  <c r="G460" i="3" s="1"/>
  <c r="G476" i="3" a="1"/>
  <c r="G476" i="3" s="1"/>
  <c r="G442" i="3" a="1"/>
  <c r="G423" i="3" a="1"/>
  <c r="G423" i="3" s="1"/>
  <c r="G389" i="3" a="1"/>
  <c r="G389" i="3" s="1"/>
  <c r="G354" i="3" a="1"/>
  <c r="G354" i="3" s="1"/>
  <c r="G370" i="3" a="1"/>
  <c r="G335" i="3" a="1"/>
  <c r="G335" i="3" s="1"/>
  <c r="G349" i="3" a="1"/>
  <c r="G349" i="3" s="1"/>
  <c r="G481" i="3" a="1"/>
  <c r="G481" i="3" s="1"/>
  <c r="G496" i="3" a="1"/>
  <c r="G496" i="3" s="1"/>
  <c r="G461" i="3" a="1"/>
  <c r="G461" i="3" s="1"/>
  <c r="G452" i="3" a="1"/>
  <c r="G452" i="3" s="1"/>
  <c r="G408" i="3" a="1"/>
  <c r="G408" i="3" s="1"/>
  <c r="G424" i="3" a="1"/>
  <c r="G424" i="3" s="1"/>
  <c r="G355" i="3" a="1"/>
  <c r="G355" i="3" s="1"/>
  <c r="G371" i="3" a="1"/>
  <c r="G336" i="3" a="1"/>
  <c r="G336" i="3" s="1"/>
  <c r="G116" i="3" a="1"/>
  <c r="G116" i="3" s="1"/>
  <c r="G380" i="3" a="1"/>
  <c r="G380" i="3" s="1"/>
  <c r="G362" i="3" a="1"/>
  <c r="G362" i="3" s="1"/>
  <c r="G382" i="3" a="1"/>
  <c r="G382" i="3" s="1"/>
  <c r="G454" i="3" a="1"/>
  <c r="G454" i="3" s="1"/>
  <c r="G436" i="3" a="1"/>
  <c r="G436" i="3" s="1"/>
  <c r="G417" i="3" a="1"/>
  <c r="G417" i="3" s="1"/>
  <c r="G398" i="3" a="1"/>
  <c r="G398" i="3" s="1"/>
  <c r="G329" i="3" a="1"/>
  <c r="G329" i="3" s="1"/>
  <c r="G109" i="3" a="1"/>
  <c r="G109" i="3" s="1"/>
  <c r="G344" i="3" a="1"/>
  <c r="G478" i="3" a="1"/>
  <c r="G478" i="3" s="1"/>
  <c r="G493" i="3" a="1"/>
  <c r="G493" i="3" s="1"/>
  <c r="G458" i="3" a="1"/>
  <c r="G458" i="3" s="1"/>
  <c r="G474" i="3" a="1"/>
  <c r="G474" i="3" s="1"/>
  <c r="G440" i="3" a="1"/>
  <c r="G405" i="3" a="1"/>
  <c r="G405" i="3" s="1"/>
  <c r="G421" i="3" a="1"/>
  <c r="G421" i="3" s="1"/>
  <c r="G387" i="3" a="1"/>
  <c r="G377" i="3" a="1"/>
  <c r="G377" i="3" s="1"/>
  <c r="G368" i="3" a="1"/>
  <c r="G333" i="3" a="1"/>
  <c r="G333" i="3" s="1"/>
  <c r="G347" i="3" a="1"/>
  <c r="G347" i="3" s="1"/>
  <c r="G113" i="3" a="1"/>
  <c r="G113" i="3" s="1"/>
  <c r="G482" i="3" a="1"/>
  <c r="G482" i="3" s="1"/>
  <c r="G497" i="3" a="1"/>
  <c r="G497" i="3" s="1"/>
  <c r="G462" i="3" a="1"/>
  <c r="G428" i="3" a="1"/>
  <c r="G428" i="3" s="1"/>
  <c r="G444" i="3" a="1"/>
  <c r="G444" i="3" s="1"/>
  <c r="G409" i="3" a="1"/>
  <c r="G425" i="3" a="1"/>
  <c r="G425" i="3" s="1"/>
  <c r="G390" i="3" a="1"/>
  <c r="G356" i="3" a="1"/>
  <c r="G356" i="3" s="1"/>
  <c r="G372" i="3" a="1"/>
  <c r="G337" i="3" a="1"/>
  <c r="G337" i="3" s="1"/>
  <c r="G351" i="3" a="1"/>
  <c r="G351" i="3" s="1"/>
  <c r="G117" i="3" a="1"/>
  <c r="G117" i="3" s="1"/>
  <c r="G498" i="3" a="1"/>
  <c r="G498" i="3" s="1"/>
  <c r="G402" i="3" a="1"/>
  <c r="G402" i="3" s="1"/>
  <c r="G358" i="3" a="1"/>
  <c r="G358" i="3" s="1"/>
  <c r="G484" i="3" a="1"/>
  <c r="G484" i="3" s="1"/>
  <c r="G499" i="3" a="1"/>
  <c r="G499" i="3" s="1"/>
  <c r="G465" i="3" a="1"/>
  <c r="G431" i="3" a="1"/>
  <c r="G431" i="3" s="1"/>
  <c r="G446" i="3" a="1"/>
  <c r="G446" i="3" s="1"/>
  <c r="G120" i="3" a="1"/>
  <c r="G120" i="3" s="1"/>
  <c r="G483" i="3" a="1"/>
  <c r="G483" i="3" s="1"/>
  <c r="G463" i="3" a="1"/>
  <c r="G429" i="3" a="1"/>
  <c r="G429" i="3" s="1"/>
  <c r="G445" i="3" a="1"/>
  <c r="G445" i="3" s="1"/>
  <c r="G410" i="3" a="1"/>
  <c r="G426" i="3" a="1"/>
  <c r="G426" i="3" s="1"/>
  <c r="G391" i="3" a="1"/>
  <c r="G391" i="3" s="1"/>
  <c r="G357" i="3" a="1"/>
  <c r="G357" i="3" s="1"/>
  <c r="G373" i="3" a="1"/>
  <c r="G338" i="3" a="1"/>
  <c r="G338" i="3" s="1"/>
  <c r="G327" i="3" a="1"/>
  <c r="G327" i="3" s="1"/>
  <c r="G118" i="3" a="1"/>
  <c r="G118" i="3" s="1"/>
  <c r="G464" i="3" a="1"/>
  <c r="G430" i="3" a="1"/>
  <c r="G430" i="3" s="1"/>
  <c r="G411" i="3" a="1"/>
  <c r="G392" i="3" a="1"/>
  <c r="G392" i="3" s="1"/>
  <c r="G374" i="3" a="1"/>
  <c r="G339" i="3" a="1"/>
  <c r="G103" i="3" a="1"/>
  <c r="G103" i="3" s="1"/>
  <c r="G119" i="3" a="1"/>
  <c r="G119" i="3" s="1"/>
  <c r="G412" i="3" a="1"/>
  <c r="G378" i="3" a="1"/>
  <c r="G378" i="3" s="1"/>
  <c r="G393" i="3" a="1"/>
  <c r="G393" i="3" s="1"/>
  <c r="G359" i="3" a="1"/>
  <c r="G359" i="3" s="1"/>
  <c r="G375" i="3" a="1"/>
  <c r="G104" i="3" a="1"/>
  <c r="G104" i="3" s="1"/>
  <c r="G485" i="3" a="1"/>
  <c r="G485" i="3" s="1"/>
  <c r="G466" i="3" a="1"/>
  <c r="G432" i="3" a="1"/>
  <c r="G432" i="3" s="1"/>
  <c r="G447" i="3" a="1"/>
  <c r="G447" i="3" s="1"/>
  <c r="G413" i="3" a="1"/>
  <c r="G379" i="3" a="1"/>
  <c r="G379" i="3" s="1"/>
  <c r="G394" i="3" a="1"/>
  <c r="G394" i="3" s="1"/>
  <c r="G360" i="3" a="1"/>
  <c r="G360" i="3" s="1"/>
  <c r="G376" i="3" a="1"/>
  <c r="G376" i="3" s="1"/>
  <c r="G340" i="3" a="1"/>
  <c r="G105" i="3" a="1"/>
  <c r="G105" i="3" s="1"/>
  <c r="G121" i="3" a="1"/>
  <c r="G121" i="3" s="1"/>
  <c r="G500" i="3" a="1"/>
  <c r="G500" i="3" s="1"/>
  <c r="G395" i="3" a="1"/>
  <c r="G395" i="3" s="1"/>
  <c r="G106" i="3" a="1"/>
  <c r="G106" i="3" s="1"/>
  <c r="G477" i="3" a="1"/>
  <c r="G477" i="3" s="1"/>
  <c r="G381" i="3" a="1"/>
  <c r="G381" i="3" s="1"/>
  <c r="G352" i="3" a="1"/>
  <c r="G352" i="3" s="1"/>
  <c r="G107" i="3" a="1"/>
  <c r="G107" i="3" s="1"/>
  <c r="G453" i="3" a="1"/>
  <c r="G453" i="3" s="1"/>
  <c r="G363" i="3" a="1"/>
  <c r="G363" i="3" s="1"/>
  <c r="G342" i="3" a="1"/>
  <c r="G124" i="3" a="1"/>
  <c r="G124" i="3" s="1"/>
  <c r="G125" i="3" a="1"/>
  <c r="G125" i="3" s="1"/>
  <c r="G455" i="3" a="1"/>
  <c r="G455" i="3" s="1"/>
  <c r="G427" i="3" a="1"/>
  <c r="G427" i="3" s="1"/>
  <c r="G384" i="3" a="1"/>
  <c r="G384" i="3" s="1"/>
  <c r="G365" i="3" a="1"/>
  <c r="G365" i="3" s="1"/>
  <c r="G110" i="3" a="1"/>
  <c r="G110" i="3" s="1"/>
  <c r="G8" i="3" a="1"/>
  <c r="G8" i="3" s="1"/>
  <c r="G29" i="3" a="1"/>
  <c r="G29" i="3" s="1"/>
  <c r="G28" i="3" a="1"/>
  <c r="G28" i="3" s="1"/>
  <c r="G7" i="3" a="1"/>
  <c r="G7" i="3" s="1"/>
  <c r="G6" i="3" a="1"/>
  <c r="G6" i="3" s="1"/>
  <c r="G39" i="3" a="1"/>
  <c r="G39" i="3" s="1"/>
  <c r="G10" i="3" a="1"/>
  <c r="G26" i="3" a="1"/>
  <c r="G26" i="3" s="1"/>
  <c r="G44" i="3" a="1"/>
  <c r="G44" i="3" s="1"/>
  <c r="G46" i="3" a="1"/>
  <c r="G46" i="3" s="1"/>
  <c r="G32" i="3" a="1"/>
  <c r="G32" i="3" s="1"/>
  <c r="G33" i="3" a="1"/>
  <c r="G33" i="3" s="1"/>
  <c r="G21" i="3" a="1"/>
  <c r="G21" i="3" s="1"/>
  <c r="G35" i="3" a="1"/>
  <c r="G35" i="3" s="1"/>
  <c r="G23" i="3" a="1"/>
  <c r="G23" i="3" s="1"/>
  <c r="G25" i="3" a="1"/>
  <c r="G25" i="3" s="1"/>
  <c r="G40" i="3" a="1"/>
  <c r="G40" i="3" s="1"/>
  <c r="G11" i="3" a="1"/>
  <c r="G15" i="3" a="1"/>
  <c r="G48" i="3" a="1"/>
  <c r="G48" i="3" s="1"/>
  <c r="G20" i="3" a="1"/>
  <c r="G20" i="3" s="1"/>
  <c r="G50" i="3" a="1"/>
  <c r="G50" i="3" s="1"/>
  <c r="G51" i="3" a="1"/>
  <c r="G51" i="3" s="1"/>
  <c r="G4" i="3" a="1"/>
  <c r="G4" i="3" s="1"/>
  <c r="G41" i="3" a="1"/>
  <c r="G41" i="3" s="1"/>
  <c r="G12" i="3" a="1"/>
  <c r="G31" i="3" a="1"/>
  <c r="G31" i="3" s="1"/>
  <c r="G18" i="3" a="1"/>
  <c r="G18" i="3" s="1"/>
  <c r="G49" i="3" a="1"/>
  <c r="G49" i="3" s="1"/>
  <c r="G22" i="3" a="1"/>
  <c r="G22" i="3" s="1"/>
  <c r="G3" i="3" a="1"/>
  <c r="G3" i="3" s="1"/>
  <c r="G24" i="3" a="1"/>
  <c r="G24" i="3" s="1"/>
  <c r="G9" i="3" a="1"/>
  <c r="G42" i="3" a="1"/>
  <c r="G42" i="3" s="1"/>
  <c r="G13" i="3" a="1"/>
  <c r="G43" i="3" a="1"/>
  <c r="G43" i="3" s="1"/>
  <c r="G14" i="3" a="1"/>
  <c r="G45" i="3" a="1"/>
  <c r="G45" i="3" s="1"/>
  <c r="G16" i="3" a="1"/>
  <c r="G16" i="3" s="1"/>
  <c r="G17" i="3" a="1"/>
  <c r="G17" i="3" s="1"/>
  <c r="G47" i="3" a="1"/>
  <c r="G47" i="3" s="1"/>
  <c r="G19" i="3" a="1"/>
  <c r="G19" i="3" s="1"/>
  <c r="G34" i="3" a="1"/>
  <c r="G34" i="3" s="1"/>
  <c r="G36" i="3" a="1"/>
  <c r="G36" i="3" s="1"/>
  <c r="G37" i="3" a="1"/>
  <c r="G37" i="3" s="1"/>
  <c r="G38" i="3" a="1"/>
  <c r="G38" i="3" s="1"/>
  <c r="G30" i="3" a="1"/>
  <c r="G30" i="3" s="1"/>
  <c r="G307" i="3" a="1"/>
  <c r="G317" i="3" a="1"/>
  <c r="G317" i="3" s="1"/>
  <c r="G283" i="3" a="1"/>
  <c r="G283" i="3" s="1"/>
  <c r="G296" i="3" a="1"/>
  <c r="G260" i="3" a="1"/>
  <c r="G270" i="3" a="1"/>
  <c r="G270" i="3" s="1"/>
  <c r="G234" i="3" a="1"/>
  <c r="G234" i="3" s="1"/>
  <c r="G247" i="3" a="1"/>
  <c r="G247" i="3" s="1"/>
  <c r="G210" i="3" a="1"/>
  <c r="G221" i="3" a="1"/>
  <c r="G221" i="3" s="1"/>
  <c r="G182" i="3" a="1"/>
  <c r="G182" i="3" s="1"/>
  <c r="G156" i="3" a="1"/>
  <c r="G176" i="3" a="1"/>
  <c r="G176" i="3" s="1"/>
  <c r="G139" i="3" a="1"/>
  <c r="G139" i="3" s="1"/>
  <c r="G89" i="3" a="1"/>
  <c r="G186" i="3" a="1"/>
  <c r="G131" i="3" a="1"/>
  <c r="G92" i="3" a="1"/>
  <c r="G92" i="3" s="1"/>
  <c r="G265" i="3" a="1"/>
  <c r="G143" i="3" a="1"/>
  <c r="G143" i="3" s="1"/>
  <c r="G73" i="3" a="1"/>
  <c r="G73" i="3" s="1"/>
  <c r="G318" i="3" a="1"/>
  <c r="G318" i="3" s="1"/>
  <c r="G284" i="3" a="1"/>
  <c r="G284" i="3" s="1"/>
  <c r="G297" i="3" a="1"/>
  <c r="G271" i="3" a="1"/>
  <c r="G271" i="3" s="1"/>
  <c r="G235" i="3" a="1"/>
  <c r="G211" i="3" a="1"/>
  <c r="G183" i="3" a="1"/>
  <c r="G183" i="3" s="1"/>
  <c r="G194" i="3" a="1"/>
  <c r="G194" i="3" s="1"/>
  <c r="G167" i="3" a="1"/>
  <c r="G167" i="3" s="1"/>
  <c r="G128" i="3" a="1"/>
  <c r="G128" i="3" s="1"/>
  <c r="G149" i="3" a="1"/>
  <c r="G149" i="3" s="1"/>
  <c r="G101" i="3" a="1"/>
  <c r="G101" i="3" s="1"/>
  <c r="G67" i="3" a="1"/>
  <c r="G67" i="3" s="1"/>
  <c r="G321" i="3" a="1"/>
  <c r="G321" i="3" s="1"/>
  <c r="G273" i="3" a="1"/>
  <c r="G273" i="3" s="1"/>
  <c r="G223" i="3" a="1"/>
  <c r="G223" i="3" s="1"/>
  <c r="G141" i="3" a="1"/>
  <c r="G141" i="3" s="1"/>
  <c r="G275" i="3" a="1"/>
  <c r="G275" i="3" s="1"/>
  <c r="G133" i="3" a="1"/>
  <c r="G59" i="3" a="1"/>
  <c r="G59" i="3" s="1"/>
  <c r="G276" i="3" a="1"/>
  <c r="G276" i="3" s="1"/>
  <c r="G308" i="3" a="1"/>
  <c r="G319" i="3" a="1"/>
  <c r="G319" i="3" s="1"/>
  <c r="G285" i="3" a="1"/>
  <c r="G285" i="3" s="1"/>
  <c r="G261" i="3" a="1"/>
  <c r="G272" i="3" a="1"/>
  <c r="G272" i="3" s="1"/>
  <c r="G236" i="3" a="1"/>
  <c r="G248" i="3" a="1"/>
  <c r="G248" i="3" s="1"/>
  <c r="G212" i="3" a="1"/>
  <c r="G222" i="3" a="1"/>
  <c r="G222" i="3" s="1"/>
  <c r="G184" i="3" a="1"/>
  <c r="G184" i="3" s="1"/>
  <c r="G195" i="3" a="1"/>
  <c r="G195" i="3" s="1"/>
  <c r="G157" i="3" a="1"/>
  <c r="G129" i="3" a="1"/>
  <c r="G129" i="3" s="1"/>
  <c r="G140" i="3" a="1"/>
  <c r="G140" i="3" s="1"/>
  <c r="G90" i="3" a="1"/>
  <c r="G90" i="3" s="1"/>
  <c r="G53" i="3" a="1"/>
  <c r="G53" i="3" s="1"/>
  <c r="G287" i="3" a="1"/>
  <c r="G287" i="3" s="1"/>
  <c r="G238" i="3" a="1"/>
  <c r="G196" i="3" a="1"/>
  <c r="G196" i="3" s="1"/>
  <c r="G151" i="3" a="1"/>
  <c r="G151" i="3" s="1"/>
  <c r="G55" i="3" a="1"/>
  <c r="G55" i="3" s="1"/>
  <c r="G324" i="3" a="1"/>
  <c r="G324" i="3" s="1"/>
  <c r="G172" i="3" a="1"/>
  <c r="G172" i="3" s="1"/>
  <c r="G81" i="3" a="1"/>
  <c r="G81" i="3" s="1"/>
  <c r="G241" i="3" a="1"/>
  <c r="G82" i="3" a="1"/>
  <c r="G82" i="3" s="1"/>
  <c r="G320" i="3" a="1"/>
  <c r="G320" i="3" s="1"/>
  <c r="G286" i="3" a="1"/>
  <c r="G286" i="3" s="1"/>
  <c r="G298" i="3" a="1"/>
  <c r="G298" i="3" s="1"/>
  <c r="G262" i="3" a="1"/>
  <c r="G237" i="3" a="1"/>
  <c r="G213" i="3" a="1"/>
  <c r="G185" i="3" a="1"/>
  <c r="G185" i="3" s="1"/>
  <c r="G168" i="3" a="1"/>
  <c r="G168" i="3" s="1"/>
  <c r="G130" i="3" a="1"/>
  <c r="G130" i="3" s="1"/>
  <c r="G150" i="3" a="1"/>
  <c r="G150" i="3" s="1"/>
  <c r="G91" i="3" a="1"/>
  <c r="G91" i="3" s="1"/>
  <c r="G54" i="3" a="1"/>
  <c r="G54" i="3" s="1"/>
  <c r="G68" i="3" a="1"/>
  <c r="G68" i="3" s="1"/>
  <c r="G309" i="3" a="1"/>
  <c r="G263" i="3" a="1"/>
  <c r="G249" i="3" a="1"/>
  <c r="G249" i="3" s="1"/>
  <c r="G158" i="3" a="1"/>
  <c r="G69" i="3" a="1"/>
  <c r="G69" i="3" s="1"/>
  <c r="G325" i="3" a="1"/>
  <c r="G325" i="3" s="1"/>
  <c r="G216" i="3" a="1"/>
  <c r="G216" i="3" s="1"/>
  <c r="G310" i="3" a="1"/>
  <c r="G322" i="3" a="1"/>
  <c r="G322" i="3" s="1"/>
  <c r="G288" i="3" a="1"/>
  <c r="G288" i="3" s="1"/>
  <c r="G299" i="3" a="1"/>
  <c r="G299" i="3" s="1"/>
  <c r="G239" i="3" a="1"/>
  <c r="G214" i="3" a="1"/>
  <c r="G187" i="3" a="1"/>
  <c r="G197" i="3" a="1"/>
  <c r="G197" i="3" s="1"/>
  <c r="G159" i="3" a="1"/>
  <c r="G169" i="3" a="1"/>
  <c r="G169" i="3" s="1"/>
  <c r="G78" i="3" a="1"/>
  <c r="G78" i="3" s="1"/>
  <c r="G56" i="3" a="1"/>
  <c r="G56" i="3" s="1"/>
  <c r="G70" i="3" a="1"/>
  <c r="G70" i="3" s="1"/>
  <c r="G311" i="3" a="1"/>
  <c r="G301" i="3" a="1"/>
  <c r="G301" i="3" s="1"/>
  <c r="G251" i="3" a="1"/>
  <c r="G251" i="3" s="1"/>
  <c r="G188" i="3" a="1"/>
  <c r="G160" i="3" a="1"/>
  <c r="G94" i="3" a="1"/>
  <c r="G94" i="3" s="1"/>
  <c r="G72" i="3" a="1"/>
  <c r="G72" i="3" s="1"/>
  <c r="G291" i="3" a="1"/>
  <c r="G225" i="3" a="1"/>
  <c r="G225" i="3" s="1"/>
  <c r="G313" i="3" a="1"/>
  <c r="G313" i="3" s="1"/>
  <c r="G203" i="3" a="1"/>
  <c r="G203" i="3" s="1"/>
  <c r="G161" i="3" a="1"/>
  <c r="G161" i="3" s="1"/>
  <c r="G60" i="3" a="1"/>
  <c r="G60" i="3" s="1"/>
  <c r="G323" i="3" a="1"/>
  <c r="G323" i="3" s="1"/>
  <c r="G289" i="3" a="1"/>
  <c r="G289" i="3" s="1"/>
  <c r="G300" i="3" a="1"/>
  <c r="G300" i="3" s="1"/>
  <c r="G264" i="3" a="1"/>
  <c r="G274" i="3" a="1"/>
  <c r="G274" i="3" s="1"/>
  <c r="G250" i="3" a="1"/>
  <c r="G250" i="3" s="1"/>
  <c r="G224" i="3" a="1"/>
  <c r="G224" i="3" s="1"/>
  <c r="G170" i="3" a="1"/>
  <c r="G170" i="3" s="1"/>
  <c r="G132" i="3" a="1"/>
  <c r="G142" i="3" a="1"/>
  <c r="G142" i="3" s="1"/>
  <c r="G79" i="3" a="1"/>
  <c r="G79" i="3" s="1"/>
  <c r="G93" i="3" a="1"/>
  <c r="G93" i="3" s="1"/>
  <c r="G57" i="3" a="1"/>
  <c r="G57" i="3" s="1"/>
  <c r="G71" i="3" a="1"/>
  <c r="G71" i="3" s="1"/>
  <c r="G290" i="3" a="1"/>
  <c r="G290" i="3" s="1"/>
  <c r="G240" i="3" a="1"/>
  <c r="G215" i="3" a="1"/>
  <c r="G215" i="3" s="1"/>
  <c r="G198" i="3" a="1"/>
  <c r="G198" i="3" s="1"/>
  <c r="G171" i="3" a="1"/>
  <c r="G171" i="3" s="1"/>
  <c r="G80" i="3" a="1"/>
  <c r="G80" i="3" s="1"/>
  <c r="G58" i="3" a="1"/>
  <c r="G58" i="3" s="1"/>
  <c r="G312" i="3" a="1"/>
  <c r="G189" i="3" a="1"/>
  <c r="G95" i="3" a="1"/>
  <c r="G95" i="3" s="1"/>
  <c r="G253" i="3" a="1"/>
  <c r="G253" i="3" s="1"/>
  <c r="G199" i="3" a="1"/>
  <c r="G199" i="3" s="1"/>
  <c r="G96" i="3" a="1"/>
  <c r="G96" i="3" s="1"/>
  <c r="G305" i="3" a="1"/>
  <c r="G305" i="3" s="1"/>
  <c r="G293" i="3" a="1"/>
  <c r="G228" i="3" a="1"/>
  <c r="G228" i="3" s="1"/>
  <c r="G208" i="3" a="1"/>
  <c r="G208" i="3" s="1"/>
  <c r="G191" i="3" a="1"/>
  <c r="G173" i="3" a="1"/>
  <c r="G173" i="3" s="1"/>
  <c r="G85" i="3" a="1"/>
  <c r="G254" i="3" a="1"/>
  <c r="G254" i="3" s="1"/>
  <c r="G134" i="3" a="1"/>
  <c r="G220" i="3" a="1"/>
  <c r="G220" i="3" s="1"/>
  <c r="G154" i="3" a="1"/>
  <c r="G154" i="3" s="1"/>
  <c r="G246" i="3" a="1"/>
  <c r="G246" i="3" s="1"/>
  <c r="G204" i="3" a="1"/>
  <c r="G204" i="3" s="1"/>
  <c r="G144" i="3" a="1"/>
  <c r="G144" i="3" s="1"/>
  <c r="G268" i="3" a="1"/>
  <c r="G268" i="3" s="1"/>
  <c r="G206" i="3" a="1"/>
  <c r="G206" i="3" s="1"/>
  <c r="G83" i="3" a="1"/>
  <c r="G83" i="3" s="1"/>
  <c r="G207" i="3" a="1"/>
  <c r="G207" i="3" s="1"/>
  <c r="G84" i="3" a="1"/>
  <c r="G306" i="3" a="1"/>
  <c r="G306" i="3" s="1"/>
  <c r="G229" i="3" a="1"/>
  <c r="G229" i="3" s="1"/>
  <c r="G209" i="3" a="1"/>
  <c r="G192" i="3" a="1"/>
  <c r="G192" i="3" s="1"/>
  <c r="G148" i="3" a="1"/>
  <c r="G148" i="3" s="1"/>
  <c r="G86" i="3" a="1"/>
  <c r="G74" i="3" a="1"/>
  <c r="G74" i="3" s="1"/>
  <c r="G232" i="3" a="1"/>
  <c r="G232" i="3" s="1"/>
  <c r="G175" i="3" a="1"/>
  <c r="G175" i="3" s="1"/>
  <c r="G256" i="3" a="1"/>
  <c r="G256" i="3" s="1"/>
  <c r="G257" i="3" a="1"/>
  <c r="G257" i="3" s="1"/>
  <c r="G135" i="3" a="1"/>
  <c r="G326" i="3" a="1"/>
  <c r="G326" i="3" s="1"/>
  <c r="G243" i="3" a="1"/>
  <c r="G243" i="3" s="1"/>
  <c r="G259" i="3" a="1"/>
  <c r="G100" i="3" a="1"/>
  <c r="G100" i="3" s="1"/>
  <c r="G279" i="3" a="1"/>
  <c r="G279" i="3" s="1"/>
  <c r="G245" i="3" a="1"/>
  <c r="G245" i="3" s="1"/>
  <c r="G137" i="3" a="1"/>
  <c r="G137" i="3" s="1"/>
  <c r="G267" i="3" a="1"/>
  <c r="G267" i="3" s="1"/>
  <c r="G163" i="3" a="1"/>
  <c r="G163" i="3" s="1"/>
  <c r="G180" i="3" a="1"/>
  <c r="G180" i="3" s="1"/>
  <c r="G282" i="3" a="1"/>
  <c r="G282" i="3" s="1"/>
  <c r="G165" i="3" a="1"/>
  <c r="G165" i="3" s="1"/>
  <c r="G64" i="3" a="1"/>
  <c r="G64" i="3" s="1"/>
  <c r="G292" i="3" a="1"/>
  <c r="G190" i="3" a="1"/>
  <c r="G147" i="3" a="1"/>
  <c r="G147" i="3" s="1"/>
  <c r="G294" i="3" a="1"/>
  <c r="G230" i="3" a="1"/>
  <c r="G230" i="3" s="1"/>
  <c r="G174" i="3" a="1"/>
  <c r="G174" i="3" s="1"/>
  <c r="G87" i="3" a="1"/>
  <c r="G75" i="3" a="1"/>
  <c r="G75" i="3" s="1"/>
  <c r="G315" i="3" a="1"/>
  <c r="G315" i="3" s="1"/>
  <c r="G242" i="3" a="1"/>
  <c r="G242" i="3" s="1"/>
  <c r="G153" i="3" a="1"/>
  <c r="G153" i="3" s="1"/>
  <c r="G258" i="3" a="1"/>
  <c r="G258" i="3" s="1"/>
  <c r="G99" i="3" a="1"/>
  <c r="G99" i="3" s="1"/>
  <c r="G244" i="3" a="1"/>
  <c r="G244" i="3" s="1"/>
  <c r="G266" i="3" a="1"/>
  <c r="G280" i="3" a="1"/>
  <c r="G280" i="3" s="1"/>
  <c r="G179" i="3" a="1"/>
  <c r="G179" i="3" s="1"/>
  <c r="G62" i="3" a="1"/>
  <c r="G62" i="3" s="1"/>
  <c r="G164" i="3" a="1"/>
  <c r="G164" i="3" s="1"/>
  <c r="G63" i="3" a="1"/>
  <c r="G63" i="3" s="1"/>
  <c r="G303" i="3" a="1"/>
  <c r="G303" i="3" s="1"/>
  <c r="G146" i="3" a="1"/>
  <c r="G146" i="3" s="1"/>
  <c r="G269" i="3" a="1"/>
  <c r="G269" i="3" s="1"/>
  <c r="G66" i="3" a="1"/>
  <c r="G66" i="3" s="1"/>
  <c r="G314" i="3" a="1"/>
  <c r="G314" i="3" s="1"/>
  <c r="G295" i="3" a="1"/>
  <c r="G231" i="3" a="1"/>
  <c r="G231" i="3" s="1"/>
  <c r="G217" i="3" a="1"/>
  <c r="G217" i="3" s="1"/>
  <c r="G193" i="3" a="1"/>
  <c r="G193" i="3" s="1"/>
  <c r="G88" i="3" a="1"/>
  <c r="G76" i="3" a="1"/>
  <c r="G76" i="3" s="1"/>
  <c r="G200" i="3" a="1"/>
  <c r="G200" i="3" s="1"/>
  <c r="G219" i="3" a="1"/>
  <c r="G219" i="3" s="1"/>
  <c r="G136" i="3" a="1"/>
  <c r="G136" i="3" s="1"/>
  <c r="G278" i="3" a="1"/>
  <c r="G278" i="3" s="1"/>
  <c r="G155" i="3" a="1"/>
  <c r="G155" i="3" s="1"/>
  <c r="G178" i="3" a="1"/>
  <c r="G178" i="3" s="1"/>
  <c r="G61" i="3" a="1"/>
  <c r="G61" i="3" s="1"/>
  <c r="G138" i="3" a="1"/>
  <c r="G138" i="3" s="1"/>
  <c r="G205" i="3" a="1"/>
  <c r="G205" i="3" s="1"/>
  <c r="G145" i="3" a="1"/>
  <c r="G145" i="3" s="1"/>
  <c r="G304" i="3" a="1"/>
  <c r="G304" i="3" s="1"/>
  <c r="G255" i="3" a="1"/>
  <c r="G255" i="3" s="1"/>
  <c r="G233" i="3" a="1"/>
  <c r="G233" i="3" s="1"/>
  <c r="G218" i="3" a="1"/>
  <c r="G218" i="3" s="1"/>
  <c r="G97" i="3" a="1"/>
  <c r="G97" i="3" s="1"/>
  <c r="G316" i="3" a="1"/>
  <c r="G316" i="3" s="1"/>
  <c r="G201" i="3" a="1"/>
  <c r="G201" i="3" s="1"/>
  <c r="G98" i="3" a="1"/>
  <c r="G98" i="3" s="1"/>
  <c r="G226" i="3" a="1"/>
  <c r="G226" i="3" s="1"/>
  <c r="G162" i="3" a="1"/>
  <c r="G162" i="3" s="1"/>
  <c r="G281" i="3" a="1"/>
  <c r="G281" i="3" s="1"/>
  <c r="G181" i="3" a="1"/>
  <c r="G181" i="3" s="1"/>
  <c r="G65" i="3" a="1"/>
  <c r="G65" i="3" s="1"/>
  <c r="G166" i="3" a="1"/>
  <c r="G166" i="3" s="1"/>
  <c r="G2" i="3" a="1"/>
  <c r="G2" i="3" s="1"/>
  <c r="G227" i="3" a="1"/>
  <c r="G127" i="3" a="1"/>
  <c r="G52" i="3" a="1"/>
  <c r="L52" i="3" s="1"/>
  <c r="G277" i="3" a="1"/>
  <c r="L277" i="3" s="1"/>
  <c r="G177" i="3" a="1"/>
  <c r="L391" i="3"/>
  <c r="G152" i="3" a="1"/>
  <c r="G27" i="3" a="1"/>
  <c r="L27" i="3" s="1"/>
  <c r="G302" i="3" a="1"/>
  <c r="L302" i="3" s="1"/>
  <c r="G202" i="3" a="1"/>
  <c r="L392" i="3"/>
  <c r="G252" i="3" a="1"/>
  <c r="L252" i="3" s="1"/>
  <c r="G77" i="3" a="1"/>
  <c r="L77" i="3" s="1"/>
  <c r="G387" i="3" l="1"/>
  <c r="L387" i="3"/>
  <c r="G390" i="3"/>
  <c r="L390" i="3"/>
  <c r="L389" i="3"/>
  <c r="L385" i="3"/>
  <c r="L384" i="3"/>
  <c r="L388" i="3"/>
  <c r="G9" i="3"/>
  <c r="L9" i="3"/>
  <c r="L386" i="3"/>
  <c r="G464" i="3"/>
  <c r="L464" i="3"/>
  <c r="G465" i="3"/>
  <c r="L465" i="3"/>
  <c r="G462" i="3"/>
  <c r="L462" i="3"/>
  <c r="G466" i="3"/>
  <c r="L466" i="3"/>
  <c r="G463" i="3"/>
  <c r="L463" i="3"/>
  <c r="G437" i="3"/>
  <c r="L437" i="3"/>
  <c r="G443" i="3"/>
  <c r="L443" i="3"/>
  <c r="G442" i="3"/>
  <c r="L442" i="3"/>
  <c r="G439" i="3"/>
  <c r="L439" i="3"/>
  <c r="G438" i="3"/>
  <c r="L438" i="3"/>
  <c r="G440" i="3"/>
  <c r="L440" i="3"/>
  <c r="G441" i="3"/>
  <c r="L441" i="3"/>
  <c r="G415" i="3"/>
  <c r="L415" i="3"/>
  <c r="G412" i="3"/>
  <c r="L412" i="3"/>
  <c r="G410" i="3"/>
  <c r="L410" i="3"/>
  <c r="G409" i="3"/>
  <c r="L409" i="3"/>
  <c r="G413" i="3"/>
  <c r="L413" i="3"/>
  <c r="G411" i="3"/>
  <c r="L411" i="3"/>
  <c r="G414" i="3"/>
  <c r="L414" i="3"/>
  <c r="G375" i="3"/>
  <c r="L375" i="3"/>
  <c r="G373" i="3"/>
  <c r="L373" i="3"/>
  <c r="G368" i="3"/>
  <c r="L368" i="3"/>
  <c r="G370" i="3"/>
  <c r="L370" i="3"/>
  <c r="G372" i="3"/>
  <c r="L372" i="3"/>
  <c r="G369" i="3"/>
  <c r="L369" i="3"/>
  <c r="G374" i="3"/>
  <c r="L374" i="3"/>
  <c r="G371" i="3"/>
  <c r="L371" i="3"/>
  <c r="G346" i="3"/>
  <c r="L346" i="3"/>
  <c r="G345" i="3"/>
  <c r="L345" i="3"/>
  <c r="G341" i="3"/>
  <c r="L341" i="3"/>
  <c r="G343" i="3"/>
  <c r="L343" i="3"/>
  <c r="G340" i="3"/>
  <c r="L340" i="3"/>
  <c r="G339" i="3"/>
  <c r="L339" i="3"/>
  <c r="G344" i="3"/>
  <c r="L344" i="3"/>
  <c r="G342" i="3"/>
  <c r="L342" i="3"/>
  <c r="G307" i="3"/>
  <c r="L307" i="3"/>
  <c r="G310" i="3"/>
  <c r="L310" i="3"/>
  <c r="G312" i="3"/>
  <c r="L312" i="3"/>
  <c r="G311" i="3"/>
  <c r="L311" i="3"/>
  <c r="G309" i="3"/>
  <c r="L309" i="3"/>
  <c r="G308" i="3"/>
  <c r="L308" i="3"/>
  <c r="G292" i="3"/>
  <c r="L292" i="3"/>
  <c r="G297" i="3"/>
  <c r="L297" i="3"/>
  <c r="G296" i="3"/>
  <c r="L296" i="3"/>
  <c r="G295" i="3"/>
  <c r="L295" i="3"/>
  <c r="G293" i="3"/>
  <c r="L293" i="3"/>
  <c r="G294" i="3"/>
  <c r="L294" i="3"/>
  <c r="G291" i="3"/>
  <c r="L291" i="3"/>
  <c r="G266" i="3"/>
  <c r="L266" i="3"/>
  <c r="G262" i="3"/>
  <c r="L262" i="3"/>
  <c r="G264" i="3"/>
  <c r="L264" i="3"/>
  <c r="G260" i="3"/>
  <c r="L260" i="3"/>
  <c r="G263" i="3"/>
  <c r="L263" i="3"/>
  <c r="G265" i="3"/>
  <c r="L265" i="3"/>
  <c r="G259" i="3"/>
  <c r="L259" i="3"/>
  <c r="G261" i="3"/>
  <c r="L261" i="3"/>
  <c r="G241" i="3"/>
  <c r="L241" i="3"/>
  <c r="G240" i="3"/>
  <c r="L240" i="3"/>
  <c r="G236" i="3"/>
  <c r="L236" i="3"/>
  <c r="G239" i="3"/>
  <c r="L239" i="3"/>
  <c r="G238" i="3"/>
  <c r="L238" i="3"/>
  <c r="G235" i="3"/>
  <c r="L235" i="3"/>
  <c r="G237" i="3"/>
  <c r="L237" i="3"/>
  <c r="G211" i="3"/>
  <c r="L211" i="3"/>
  <c r="G213" i="3"/>
  <c r="L213" i="3"/>
  <c r="G210" i="3"/>
  <c r="L210" i="3"/>
  <c r="G209" i="3"/>
  <c r="L209" i="3"/>
  <c r="G212" i="3"/>
  <c r="L212" i="3"/>
  <c r="G214" i="3"/>
  <c r="L214" i="3"/>
  <c r="G190" i="3"/>
  <c r="L190" i="3"/>
  <c r="G189" i="3"/>
  <c r="L189" i="3"/>
  <c r="G188" i="3"/>
  <c r="L188" i="3"/>
  <c r="G191" i="3"/>
  <c r="L191" i="3"/>
  <c r="G186" i="3"/>
  <c r="L186" i="3"/>
  <c r="G187" i="3"/>
  <c r="L187" i="3"/>
  <c r="G156" i="3"/>
  <c r="L156" i="3"/>
  <c r="G160" i="3"/>
  <c r="L160" i="3"/>
  <c r="G157" i="3"/>
  <c r="L157" i="3"/>
  <c r="G158" i="3"/>
  <c r="L158" i="3"/>
  <c r="G159" i="3"/>
  <c r="L159" i="3"/>
  <c r="G133" i="3"/>
  <c r="L133" i="3"/>
  <c r="G134" i="3"/>
  <c r="L134" i="3"/>
  <c r="G131" i="3"/>
  <c r="L131" i="3"/>
  <c r="G135" i="3"/>
  <c r="L135" i="3"/>
  <c r="G132" i="3"/>
  <c r="L132" i="3"/>
  <c r="G86" i="3"/>
  <c r="L86" i="3"/>
  <c r="G85" i="3"/>
  <c r="L85" i="3"/>
  <c r="G87" i="3"/>
  <c r="L87" i="3"/>
  <c r="G89" i="3"/>
  <c r="L89" i="3"/>
  <c r="G88" i="3"/>
  <c r="L88" i="3"/>
  <c r="G84" i="3"/>
  <c r="L84" i="3"/>
  <c r="G10" i="3"/>
  <c r="L10" i="3"/>
  <c r="G14" i="3"/>
  <c r="L14" i="3"/>
  <c r="G13" i="3"/>
  <c r="L13" i="3"/>
  <c r="G15" i="3"/>
  <c r="L15" i="3"/>
  <c r="G11" i="3"/>
  <c r="L11" i="3"/>
  <c r="G12" i="3"/>
  <c r="L12" i="3"/>
  <c r="L102" i="3"/>
  <c r="L55" i="3"/>
  <c r="L405" i="3"/>
  <c r="L380" i="3"/>
  <c r="L289" i="3"/>
  <c r="L8" i="3"/>
  <c r="L382" i="3"/>
  <c r="L56" i="3"/>
  <c r="L4" i="3"/>
  <c r="L257" i="3"/>
  <c r="L305" i="3"/>
  <c r="L306" i="3"/>
  <c r="L330" i="3"/>
  <c r="L329" i="3"/>
  <c r="L407" i="3"/>
  <c r="L360" i="3"/>
  <c r="L362" i="3"/>
  <c r="L282" i="3"/>
  <c r="L406" i="3"/>
  <c r="L356" i="3"/>
  <c r="L363" i="3"/>
  <c r="L403" i="3"/>
  <c r="L354" i="3"/>
  <c r="L288" i="3"/>
  <c r="L290" i="3"/>
  <c r="L328" i="3"/>
  <c r="L286" i="3"/>
  <c r="L103" i="3"/>
  <c r="L287" i="3"/>
  <c r="L304" i="3"/>
  <c r="L359" i="3"/>
  <c r="L381" i="3"/>
  <c r="L54" i="3"/>
  <c r="L352" i="3"/>
  <c r="L256" i="3"/>
  <c r="L361" i="3"/>
  <c r="L379" i="3"/>
  <c r="L280" i="3"/>
  <c r="L53" i="3"/>
  <c r="L357" i="3"/>
  <c r="L81" i="3"/>
  <c r="L7" i="3"/>
  <c r="L82" i="3"/>
  <c r="L79" i="3"/>
  <c r="L284" i="3"/>
  <c r="L253" i="3"/>
  <c r="L327" i="3"/>
  <c r="L377" i="3"/>
  <c r="L285" i="3"/>
  <c r="L78" i="3"/>
  <c r="L337" i="3"/>
  <c r="L435" i="3"/>
  <c r="L333" i="3"/>
  <c r="L402" i="3"/>
  <c r="L378" i="3"/>
  <c r="L254" i="3"/>
  <c r="L434" i="3"/>
  <c r="L408" i="3"/>
  <c r="L6" i="3"/>
  <c r="L336" i="3"/>
  <c r="L303" i="3"/>
  <c r="L283" i="3"/>
  <c r="L367" i="3"/>
  <c r="L5" i="3"/>
  <c r="L80" i="3"/>
  <c r="L383" i="3"/>
  <c r="L279" i="3"/>
  <c r="L258" i="3"/>
  <c r="L332" i="3"/>
  <c r="L278" i="3"/>
  <c r="L404" i="3"/>
  <c r="L353" i="3"/>
  <c r="L331" i="3"/>
  <c r="L57" i="3"/>
  <c r="L3" i="3"/>
  <c r="L338" i="3"/>
  <c r="L334" i="3"/>
  <c r="L255" i="3"/>
  <c r="L83" i="3"/>
  <c r="L358" i="3"/>
  <c r="L436" i="3"/>
  <c r="L281" i="3"/>
  <c r="L355" i="3"/>
  <c r="L364" i="3"/>
  <c r="L366" i="3"/>
  <c r="L365" i="3"/>
  <c r="L335" i="3"/>
  <c r="L155" i="3"/>
  <c r="L60" i="3"/>
  <c r="L59" i="3"/>
  <c r="L58" i="3"/>
  <c r="L63" i="3"/>
  <c r="L61" i="3"/>
  <c r="L64" i="3"/>
  <c r="L62" i="3"/>
  <c r="L109" i="3"/>
  <c r="L106" i="3"/>
  <c r="L107" i="3"/>
  <c r="L108" i="3"/>
  <c r="L105" i="3"/>
  <c r="L104" i="3"/>
  <c r="L32" i="3"/>
  <c r="L34" i="3"/>
  <c r="L33" i="3"/>
  <c r="L31" i="3"/>
  <c r="L29" i="3"/>
  <c r="L30" i="3"/>
  <c r="L28" i="3"/>
  <c r="L2" i="3"/>
  <c r="L429" i="3"/>
  <c r="L478" i="3"/>
  <c r="L184" i="3"/>
  <c r="L430" i="3"/>
  <c r="L204" i="3"/>
  <c r="G127" i="3"/>
  <c r="L127" i="3"/>
  <c r="L130" i="3"/>
  <c r="L229" i="3"/>
  <c r="L428" i="3"/>
  <c r="L457" i="3"/>
  <c r="G152" i="3"/>
  <c r="L152" i="3"/>
  <c r="L230" i="3"/>
  <c r="L180" i="3"/>
  <c r="L205" i="3"/>
  <c r="L454" i="3"/>
  <c r="L452" i="3"/>
  <c r="L153" i="3"/>
  <c r="L183" i="3"/>
  <c r="L179" i="3"/>
  <c r="L232" i="3"/>
  <c r="L203" i="3"/>
  <c r="L461" i="3"/>
  <c r="L154" i="3"/>
  <c r="L433" i="3"/>
  <c r="L427" i="3"/>
  <c r="L233" i="3"/>
  <c r="L432" i="3"/>
  <c r="L182" i="3"/>
  <c r="L482" i="3"/>
  <c r="G202" i="3"/>
  <c r="L202" i="3"/>
  <c r="L455" i="3"/>
  <c r="L185" i="3"/>
  <c r="L458" i="3"/>
  <c r="L208" i="3"/>
  <c r="L484" i="3"/>
  <c r="L459" i="3"/>
  <c r="L460" i="3"/>
  <c r="L481" i="3"/>
  <c r="L178" i="3"/>
  <c r="L206" i="3"/>
  <c r="L181" i="3"/>
  <c r="L234" i="3"/>
  <c r="L231" i="3"/>
  <c r="G227" i="3"/>
  <c r="L227" i="3"/>
  <c r="L431" i="3"/>
  <c r="L453" i="3"/>
  <c r="L479" i="3"/>
  <c r="L480" i="3"/>
  <c r="L129" i="3"/>
  <c r="L486" i="3"/>
  <c r="L207" i="3"/>
  <c r="L477" i="3"/>
  <c r="L456" i="3"/>
  <c r="G177" i="3"/>
  <c r="L177" i="3"/>
  <c r="L228" i="3"/>
  <c r="L128" i="3"/>
  <c r="L483" i="3"/>
  <c r="L485" i="3"/>
  <c r="G302" i="3"/>
  <c r="G52" i="3"/>
  <c r="G77" i="3"/>
  <c r="G27" i="3"/>
  <c r="G277" i="3"/>
  <c r="G25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<sst xmlns="http://schemas.openxmlformats.org/spreadsheetml/2006/main" count="892" uniqueCount="232">
  <si>
    <t>TAREFA</t>
  </si>
  <si>
    <t>ATRIBUÍDO 
PARA</t>
  </si>
  <si>
    <t>1 - RETIRADA DE PEÇAS DO VEÍCULO/BALCÃO</t>
  </si>
  <si>
    <t>DESMONTAGEM</t>
  </si>
  <si>
    <t>Retirada do volante (se necessário)</t>
  </si>
  <si>
    <t>Retirar bancos D/T</t>
  </si>
  <si>
    <t>Retirar Laterais D/T + Ombreiras</t>
  </si>
  <si>
    <t xml:space="preserve">Retirar console + carpete do assoalho </t>
  </si>
  <si>
    <t xml:space="preserve">Retirada da lateral do porta-malas </t>
  </si>
  <si>
    <t>Retirada do carpete da caixa de rodas +chão do porta-malas e prateleiras do tampão.</t>
  </si>
  <si>
    <t xml:space="preserve">Retirada do teto + acessórios  e colunas. </t>
  </si>
  <si>
    <t>2 - LIMPEZA INICIAL</t>
  </si>
  <si>
    <t>PREPARAÇÃO</t>
  </si>
  <si>
    <t xml:space="preserve">Aspiração detalhada </t>
  </si>
  <si>
    <t>3 - ISOLANTE OU FELTRO</t>
  </si>
  <si>
    <t>CORTE</t>
  </si>
  <si>
    <t xml:space="preserve">Cortar Feltro seguindo molde assoalho </t>
  </si>
  <si>
    <t>APLICAÇÃO COLA</t>
  </si>
  <si>
    <t>Aplicar cola  no feltro</t>
  </si>
  <si>
    <t>Colagem do feltro no assoalho</t>
  </si>
  <si>
    <t>Aplicar feltro no teto</t>
  </si>
  <si>
    <t>4 - TETO</t>
  </si>
  <si>
    <t>Desmontar teto e colunas</t>
  </si>
  <si>
    <t>Remoção tecido antigo e limpeza</t>
  </si>
  <si>
    <t>Limpeza das colunas originais</t>
  </si>
  <si>
    <t>Corte do novo tecido</t>
  </si>
  <si>
    <t>Aplicação cola no teto e no tecido</t>
  </si>
  <si>
    <t>COLAGEM</t>
  </si>
  <si>
    <t>Revestir o teto com tecido novo</t>
  </si>
  <si>
    <t>MONTAGEM</t>
  </si>
  <si>
    <t>Montar teto e colunas</t>
  </si>
  <si>
    <t>5 - CINTOS</t>
  </si>
  <si>
    <t>Instalaçao cinto de 3 pontos retrateis - novos BRV</t>
  </si>
  <si>
    <t>Instalação de cintos abdominais traseiros 3 pçs - BRV</t>
  </si>
  <si>
    <t>6 -  CARPETE / ASSOALHO    ( NOVO ? / MOLDADO ? / PORSCHE ?)</t>
  </si>
  <si>
    <t>COSTURA</t>
  </si>
  <si>
    <t xml:space="preserve">Instalação Carpete no Assoalho </t>
  </si>
  <si>
    <t>7 - CONSOLE CENTRAL + PEÇAS</t>
  </si>
  <si>
    <t xml:space="preserve">instalação de console + prolongador </t>
  </si>
  <si>
    <t>instalação do acabamento do freio de mão</t>
  </si>
  <si>
    <t>instalação na manopla de cambio BRV</t>
  </si>
  <si>
    <t>8 - PORTA MALAS</t>
  </si>
  <si>
    <t>Cortar carpete do fundo do porta malas</t>
  </si>
  <si>
    <t>Cortar carpete da caixa de roda</t>
  </si>
  <si>
    <t>Aplicar cola para adesão no assoalho do porta malas e caixas de rodas e lateral do tampão</t>
  </si>
  <si>
    <t xml:space="preserve"> Colar  carpete da lateral do tampao</t>
  </si>
  <si>
    <t>MODELAGEM</t>
  </si>
  <si>
    <t>Modelar carpete nas caixas de rodas</t>
  </si>
  <si>
    <t>Modelar carpete do fundo do porta malas</t>
  </si>
  <si>
    <t>PRÉ-MONTAGEM</t>
  </si>
  <si>
    <t>Instalar kit de lateral do porta malas BRV</t>
  </si>
  <si>
    <t>Instatalação da capa de macaco e triângulo (cor)</t>
  </si>
  <si>
    <t>insalação da capa de estepe (cor?)</t>
  </si>
  <si>
    <t>9 - TAMPA TRASEIRA</t>
  </si>
  <si>
    <t>Desmontar peça para preparação</t>
  </si>
  <si>
    <t>Raspar/Lixar</t>
  </si>
  <si>
    <t>Limpar e inspecionar</t>
  </si>
  <si>
    <t>Cortar corvin</t>
  </si>
  <si>
    <t>Aplicar cola</t>
  </si>
  <si>
    <t>Colar peça</t>
  </si>
  <si>
    <t>Finalizar com dobra e aplicação de grampo</t>
  </si>
  <si>
    <t>10 - LATERAIS TRASEIRAS</t>
  </si>
  <si>
    <t xml:space="preserve">remoção do tecido/courvin para a preparação  </t>
  </si>
  <si>
    <t>Lohan</t>
  </si>
  <si>
    <t>raspar/lixar</t>
  </si>
  <si>
    <t xml:space="preserve"> reparo estrutural</t>
  </si>
  <si>
    <t xml:space="preserve">cortar tecido </t>
  </si>
  <si>
    <t>aplicação de cola contato no tecido e laterais</t>
  </si>
  <si>
    <t>colar o tecido</t>
  </si>
  <si>
    <t>Gabriel</t>
  </si>
  <si>
    <t xml:space="preserve">instalação do friso, prestanas de acabamento e grampos </t>
  </si>
  <si>
    <t>11 - OMBREIRA</t>
  </si>
  <si>
    <t xml:space="preserve">remoção do courvin para a preparação  </t>
  </si>
  <si>
    <t>Nikolas</t>
  </si>
  <si>
    <t>raspar / lixar</t>
  </si>
  <si>
    <t>Cortar corvin da ombreira</t>
  </si>
  <si>
    <t xml:space="preserve">aplicação de cola p.u  no courvin e ombreiras </t>
  </si>
  <si>
    <t xml:space="preserve">colar o  courvin </t>
  </si>
  <si>
    <t>FINALIZAÇÃO</t>
  </si>
  <si>
    <t>12 - FORROS DE PORTAS</t>
  </si>
  <si>
    <t xml:space="preserve">cortar EVA para duratex </t>
  </si>
  <si>
    <t>aplicação de cola contato no duratex e EVA e colar</t>
  </si>
  <si>
    <t xml:space="preserve">Queimar o EVA no padrão das laterais, lixae as bordas  (para criar vincos) </t>
  </si>
  <si>
    <t>corte do tecido, courvin, cristal, palmilha, papel pardo e carpete</t>
  </si>
  <si>
    <t>aplicação de cola P.U no courvin (na espátula)</t>
  </si>
  <si>
    <t>aplicação de cola contato no tecido e no EVA</t>
  </si>
  <si>
    <t>colagem do tecido no EVA (parte superior da peça)</t>
  </si>
  <si>
    <t>setup da máquina de costura eletrônica</t>
  </si>
  <si>
    <t>prensagem e perfilamento do carpete</t>
  </si>
  <si>
    <t>aplicação de cola na parte inferior da lateral (área do carpete) e no carpete</t>
  </si>
  <si>
    <t>colar o carpete na parte inferior</t>
  </si>
  <si>
    <t>grampear as bordas do revestimento e dar o acabamento (parte superior e inferior)</t>
  </si>
  <si>
    <t>colagem do friso de acabamento</t>
  </si>
  <si>
    <t>montar peças de acabamento porta-treco</t>
  </si>
  <si>
    <t>13 - ACABAMENTOS</t>
  </si>
  <si>
    <t>Instalação Quebra Sol  BRV</t>
  </si>
  <si>
    <t>Quebra Sol</t>
  </si>
  <si>
    <t>Coifa Cambio</t>
  </si>
  <si>
    <t>Coifa freio de mão</t>
  </si>
  <si>
    <t>Coifa</t>
  </si>
  <si>
    <t>14 - BANCOS TRASEIROS</t>
  </si>
  <si>
    <t xml:space="preserve">remoção das capas </t>
  </si>
  <si>
    <t xml:space="preserve">revisão da estrutura </t>
  </si>
  <si>
    <t xml:space="preserve">reparo na estrutura solda </t>
  </si>
  <si>
    <t>SERRALHERIA</t>
  </si>
  <si>
    <t xml:space="preserve">reparo na estrutura </t>
  </si>
  <si>
    <t>ESPUMA</t>
  </si>
  <si>
    <t>PINTURA ELETROSTATICA</t>
  </si>
  <si>
    <t>corte do tecido com o molde</t>
  </si>
  <si>
    <t>Edna</t>
  </si>
  <si>
    <t>costurar peças cortadas</t>
  </si>
  <si>
    <t>Colagemm das Espumas nas estruturas</t>
  </si>
  <si>
    <t>Colar tecido na espuma parte inferior assento</t>
  </si>
  <si>
    <t>Montagem do banco traseiro assento (capa pronta)</t>
  </si>
  <si>
    <t>Montagem do banco traseiro encosto (capa pronta)</t>
  </si>
  <si>
    <t>Finalizar com Steamer</t>
  </si>
  <si>
    <t>15 - BANCOS DIANTEIROS</t>
  </si>
  <si>
    <t>PINTURA</t>
  </si>
  <si>
    <t>reparo na estrutura com pintura</t>
  </si>
  <si>
    <t>Ajuste cabo de aço</t>
  </si>
  <si>
    <t>Destravar engrenagens após pintura</t>
  </si>
  <si>
    <t>Aplicar espuma (assento e encosto)</t>
  </si>
  <si>
    <t>corte do tecido com o molde Encosto/assento</t>
  </si>
  <si>
    <t>costurar peças cortadas Encosto/Assento</t>
  </si>
  <si>
    <t>Montagem do encosto</t>
  </si>
  <si>
    <t>Montagem do assento</t>
  </si>
  <si>
    <t>Montagem completa do Banco (base, chapa RECARO, acabamento laterais)</t>
  </si>
  <si>
    <t>16 - VOLANTE</t>
  </si>
  <si>
    <t>Remover revestimento</t>
  </si>
  <si>
    <t>Reparo volante (se necessário)</t>
  </si>
  <si>
    <t>Limpar</t>
  </si>
  <si>
    <t>Corte couro</t>
  </si>
  <si>
    <t>Perfilar couro para dar acabamento(manualmente)</t>
  </si>
  <si>
    <t>Aplicação cola e ajuste</t>
  </si>
  <si>
    <t>costura da borda  e Fechamento do volante</t>
  </si>
  <si>
    <t>17 - TAMPÃO</t>
  </si>
  <si>
    <t>Remover carpe antigo do tampão</t>
  </si>
  <si>
    <t>Cortar Capete pelas medidas  infomadas padrão</t>
  </si>
  <si>
    <t>Aplicar cola de contato no tampao e no carpete</t>
  </si>
  <si>
    <t>Iniciar a colagem do carpete no tampão</t>
  </si>
  <si>
    <t>Após a colagem do carpete, fazer o recorte da sobras</t>
  </si>
  <si>
    <t>Colocar cordinha e batente</t>
  </si>
  <si>
    <t>Instalação do tampão no carro</t>
  </si>
  <si>
    <t>18 - MONTAGEM VEÍCULO</t>
  </si>
  <si>
    <t>Montar capa estepe</t>
  </si>
  <si>
    <t>Pintar tubo combustivel</t>
  </si>
  <si>
    <t>Montar laterais traseiras</t>
  </si>
  <si>
    <t>Instalar tampa porta malas</t>
  </si>
  <si>
    <t>Montar cristal nas portas dianteiras</t>
  </si>
  <si>
    <t>Montar Laterais dianteiras</t>
  </si>
  <si>
    <t>Montar Bancos traseiros</t>
  </si>
  <si>
    <t>Montar bancos dianteiros</t>
  </si>
  <si>
    <t>Montagem do Volante</t>
  </si>
  <si>
    <t>Montagem da Ombrera e Pestana</t>
  </si>
  <si>
    <t>19 - LIMPEZA FINAL</t>
  </si>
  <si>
    <t xml:space="preserve">Limpeza dos vidros </t>
  </si>
  <si>
    <t>aspiração do porta-malas</t>
  </si>
  <si>
    <t>aspiração do tampão</t>
  </si>
  <si>
    <t>limpeza do acabamento da tampa</t>
  </si>
  <si>
    <t>aspiração dos bancos</t>
  </si>
  <si>
    <t>aspiração do assoalho</t>
  </si>
  <si>
    <t>limpeza do painel</t>
  </si>
  <si>
    <t>limpeza do console</t>
  </si>
  <si>
    <t xml:space="preserve">limpeza das pedaleiras </t>
  </si>
  <si>
    <t>limpreza dos forros de portas (junto das ombreiras )</t>
  </si>
  <si>
    <t>20 - INPEÇÃO DE QUALIDADE</t>
  </si>
  <si>
    <t>Auditoria Fim de OS</t>
  </si>
  <si>
    <t>Rapucci</t>
  </si>
  <si>
    <t>Aplicar isolante no assoalho</t>
  </si>
  <si>
    <t>Aplicar isolante no teto</t>
  </si>
  <si>
    <t>Grampear as bordas do revestimento e dar o acabamento (parte superior e inferior)</t>
  </si>
  <si>
    <t>Reparo de espuma</t>
  </si>
  <si>
    <t>Setor</t>
  </si>
  <si>
    <t>SETOR</t>
  </si>
  <si>
    <t>ATIVIDADE</t>
  </si>
  <si>
    <t>LIMPEZA</t>
  </si>
  <si>
    <t>QUALIDADE</t>
  </si>
  <si>
    <t>AUXILIAR</t>
  </si>
  <si>
    <t>x</t>
  </si>
  <si>
    <t>Total Geral</t>
  </si>
  <si>
    <t>Tempo Previsto (min)</t>
  </si>
  <si>
    <t>Kadu</t>
  </si>
  <si>
    <t>Arthur</t>
  </si>
  <si>
    <t>Brea</t>
  </si>
  <si>
    <t>Rita</t>
  </si>
  <si>
    <t>Marcio</t>
  </si>
  <si>
    <t>Enviar peças metálicas desmontadas para pintura em Fornecedor Externo</t>
  </si>
  <si>
    <t>Arthur/Gabriel</t>
  </si>
  <si>
    <t>Lohan/Kadu/Nikolas</t>
  </si>
  <si>
    <t>Paulique</t>
  </si>
  <si>
    <t>Minutos</t>
  </si>
  <si>
    <t>Horas</t>
  </si>
  <si>
    <t>Lohan/Kadu/Nikolas/Arthur</t>
  </si>
  <si>
    <t>Rita/Arthur</t>
  </si>
  <si>
    <t>Gabriel/Arthur/Kadu</t>
  </si>
  <si>
    <t>MARCENARIA</t>
  </si>
  <si>
    <t>Verificar se não tem nenhuma peça quebrada ou faltante, riscos externos e internos (Checklist durante desmontagem (Foto/Filmagem)</t>
  </si>
  <si>
    <t>Colaborador</t>
  </si>
  <si>
    <t>Tarefas</t>
  </si>
  <si>
    <t>Colaboradores</t>
  </si>
  <si>
    <t>Distribuição</t>
  </si>
  <si>
    <t>Colaborador Dedicado</t>
  </si>
  <si>
    <t xml:space="preserve">Colaboradores Primários para Execução </t>
  </si>
  <si>
    <t># OS:</t>
  </si>
  <si>
    <t xml:space="preserve">Lider do Projeto: </t>
  </si>
  <si>
    <t>Início do projeto:</t>
  </si>
  <si>
    <t>Atualizado em:</t>
  </si>
  <si>
    <t>Horas Reais:</t>
  </si>
  <si>
    <t>Dias Para Entrega:</t>
  </si>
  <si>
    <t>Eficiência:</t>
  </si>
  <si>
    <t>Tempo Real (min</t>
  </si>
  <si>
    <t>Data entrega ao Cliente:</t>
  </si>
  <si>
    <t>Missão a ser realizada selecionada abaixo:</t>
  </si>
  <si>
    <t>Rótulos de Linha</t>
  </si>
  <si>
    <t>% Conclusão</t>
  </si>
  <si>
    <t>Média de % Conclusão</t>
  </si>
  <si>
    <t>Hora Real</t>
  </si>
  <si>
    <t>Eficiência</t>
  </si>
  <si>
    <t>Progresso da OS:</t>
  </si>
  <si>
    <t>H Real</t>
  </si>
  <si>
    <t>#N/D</t>
  </si>
  <si>
    <t>Hora Prevista</t>
  </si>
  <si>
    <t>PLANEJAMENTO DE EXECUÇÃO</t>
  </si>
  <si>
    <t>% concluído</t>
  </si>
  <si>
    <t>Média de Campo2</t>
  </si>
  <si>
    <t>Veículo:</t>
  </si>
  <si>
    <t>GAP Horas Vendidas:</t>
  </si>
  <si>
    <t>Horas Alvo:</t>
  </si>
  <si>
    <t>GAP em Horas:</t>
  </si>
  <si>
    <t>Gestão de Ordem de Serviço (OS)</t>
  </si>
  <si>
    <t>gol gti</t>
  </si>
  <si>
    <t>Não Executar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</si>
</sst>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d\,\ dd/mm/yy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/>
      <top/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3743705557422"/>
      </top>
      <bottom style="thin">
        <color theme="0" tint="-0.14990691854609822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165" fontId="1" fillId="0" borderId="2">
      <alignment horizontal="center" vertical="center"/>
    </xf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 applyProtection="1">
      <protection locked="0"/>
    </xf>
    <xf numFmtId="0" fontId="0" fillId="0" borderId="0" xfId="0" pivotButton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4" borderId="0" xfId="0" applyFill="1"/>
    <xf numFmtId="0" fontId="0" fillId="0" borderId="0" xfId="0" applyAlignment="1">
      <alignment horizontal="center" vertical="center" wrapText="1"/>
    </xf>
    <xf numFmtId="165" fontId="4" fillId="0" borderId="0" xfId="2" applyFont="1" applyBorder="1">
      <alignment horizontal="center" vertical="center"/>
    </xf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vertical="center"/>
    </xf>
    <xf numFmtId="0" fontId="8" fillId="0" borderId="0" xfId="1" applyFont="1" applyFill="1" applyBorder="1" applyAlignment="1" applyProtection="1">
      <alignment horizontal="right" vertical="center"/>
    </xf>
    <xf numFmtId="0" fontId="0" fillId="0" borderId="0" xfId="0" pivotButton="1"/>
    <xf numFmtId="164" fontId="0" fillId="0" borderId="0" xfId="0" applyNumberFormat="1" applyAlignment="1">
      <alignment horizontal="center"/>
    </xf>
    <xf numFmtId="0" fontId="9" fillId="0" borderId="0" xfId="0" applyFont="1" applyAlignment="1">
      <alignment horizontal="left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Protection="1">
      <protection locked="0"/>
    </xf>
    <xf numFmtId="0" fontId="0" fillId="4" borderId="3" xfId="0" applyFill="1" applyBorder="1" applyAlignment="1" applyProtection="1">
      <alignment horizontal="center"/>
      <protection locked="0"/>
    </xf>
    <xf numFmtId="2" fontId="0" fillId="4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2" fontId="0" fillId="0" borderId="3" xfId="0" applyNumberFormat="1" applyBorder="1" applyAlignment="1">
      <alignment horizontal="center"/>
    </xf>
    <xf numFmtId="2" fontId="0" fillId="0" borderId="3" xfId="0" applyNumberFormat="1" applyBorder="1" applyAlignment="1" applyProtection="1">
      <alignment horizontal="center"/>
      <protection locked="0"/>
    </xf>
    <xf numFmtId="2" fontId="0" fillId="5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2" fontId="0" fillId="6" borderId="3" xfId="0" applyNumberForma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center" vertical="center"/>
    </xf>
    <xf numFmtId="0" fontId="11" fillId="0" borderId="0" xfId="1" applyFont="1" applyFill="1" applyBorder="1" applyAlignment="1" applyProtection="1">
      <alignment horizontal="right" vertical="center"/>
    </xf>
    <xf numFmtId="0" fontId="10" fillId="0" borderId="0" xfId="1" applyFont="1" applyFill="1" applyBorder="1" applyAlignment="1" applyProtection="1">
      <alignment horizontal="right" vertic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/>
    </xf>
    <xf numFmtId="9" fontId="5" fillId="0" borderId="0" xfId="3" applyFont="1" applyAlignment="1">
      <alignment horizontal="center" vertical="center"/>
    </xf>
    <xf numFmtId="9" fontId="0" fillId="0" borderId="3" xfId="0" applyNumberFormat="1" applyBorder="1" applyAlignment="1" applyProtection="1">
      <alignment horizontal="center"/>
      <protection locked="0"/>
    </xf>
    <xf numFmtId="9" fontId="0" fillId="0" borderId="3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2" fontId="0" fillId="0" borderId="0" xfId="0" applyNumberFormat="1" applyAlignment="1" applyProtection="1">
      <alignment horizontal="center" vertical="center"/>
      <protection locked="0"/>
    </xf>
    <xf numFmtId="2" fontId="0" fillId="2" borderId="0" xfId="0" applyNumberFormat="1" applyFill="1" applyAlignment="1" applyProtection="1">
      <alignment horizontal="center" vertical="center"/>
      <protection locked="0"/>
    </xf>
    <xf numFmtId="9" fontId="0" fillId="0" borderId="0" xfId="0" applyNumberFormat="1" applyAlignment="1" applyProtection="1">
      <alignment horizontal="center" vertical="center"/>
      <protection locked="0"/>
    </xf>
    <xf numFmtId="9" fontId="0" fillId="2" borderId="0" xfId="0" applyNumberFormat="1" applyFill="1" applyAlignment="1" applyProtection="1">
      <alignment horizontal="center" vertical="center"/>
      <protection locked="0"/>
    </xf>
    <xf numFmtId="9" fontId="0" fillId="0" borderId="0" xfId="3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164" fontId="9" fillId="0" borderId="0" xfId="0" applyNumberFormat="1" applyFont="1"/>
    <xf numFmtId="0" fontId="9" fillId="2" borderId="0" xfId="0" applyFont="1" applyFill="1" applyAlignment="1">
      <alignment horizontal="left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0" borderId="0" xfId="0" applyFont="1" applyAlignment="1" applyProtection="1">
      <alignment vertical="center"/>
      <protection locked="0"/>
    </xf>
    <xf numFmtId="165" fontId="10" fillId="0" borderId="0" xfId="2" applyFont="1" applyBorder="1" applyAlignment="1" applyProtection="1">
      <alignment horizontal="left" vertical="center"/>
      <protection locked="0"/>
    </xf>
    <xf numFmtId="14" fontId="10" fillId="0" borderId="0" xfId="0" applyNumberFormat="1" applyFont="1" applyAlignment="1" applyProtection="1">
      <alignment horizontal="left" vertical="center"/>
      <protection locked="0"/>
    </xf>
    <xf numFmtId="14" fontId="10" fillId="0" borderId="0" xfId="0" applyNumberFormat="1" applyFont="1" applyProtection="1">
      <protection locked="0"/>
    </xf>
    <xf numFmtId="0" fontId="10" fillId="0" borderId="0" xfId="1" applyFont="1" applyBorder="1" applyAlignment="1" applyProtection="1">
      <alignment horizontal="right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164" fontId="0" fillId="2" borderId="0" xfId="0" applyNumberFormat="1" applyFill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13" fillId="0" borderId="7" xfId="0" applyFont="1" applyBorder="1" applyAlignment="1">
      <alignment horizontal="center" vertical="center"/>
    </xf>
  </cellXfs>
  <cellStyles count="4">
    <cellStyle name="Início do Projeto" xfId="2" xr:uid="{A7109672-FEE6-4AA1-AFA6-68F4D47BB59D}"/>
    <cellStyle name="Normal" xfId="0" builtinId="0"/>
    <cellStyle name="Porcentagem" xfId="3" builtinId="5"/>
    <cellStyle name="Título 3" xfId="1" builtinId="18"/>
  </cellStyles>
  <dxfs count="148">
    <dxf>
      <numFmt numFmtId="164" formatCode="0.0"/>
    </dxf>
    <dxf>
      <numFmt numFmtId="13" formatCode="0%"/>
    </dxf>
    <dxf>
      <alignment horizontal="center"/>
    </dxf>
    <dxf>
      <alignment horizont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0.0"/>
    </dxf>
    <dxf>
      <numFmt numFmtId="13" formatCode="0%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0.0"/>
    </dxf>
    <dxf>
      <numFmt numFmtId="13" formatCode="0%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0.0"/>
    </dxf>
    <dxf>
      <numFmt numFmtId="13" formatCode="0%"/>
    </dxf>
    <dxf>
      <alignment horizontal="center"/>
    </dxf>
    <dxf>
      <alignment horizontal="center"/>
    </dxf>
    <dxf>
      <numFmt numFmtId="13" formatCode="0%"/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numFmt numFmtId="13" formatCode="0%"/>
    </dxf>
    <dxf>
      <alignment horizontal="center"/>
    </dxf>
    <dxf>
      <alignment horizontal="center"/>
    </dxf>
    <dxf>
      <numFmt numFmtId="13" formatCode="0%"/>
    </dxf>
    <dxf>
      <numFmt numFmtId="164" formatCode="0.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3" formatCode="0%"/>
    </dxf>
    <dxf>
      <numFmt numFmtId="164" formatCode="0.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127163</xdr:colOff>
      <xdr:row>0</xdr:row>
      <xdr:rowOff>56314</xdr:rowOff>
    </xdr:from>
    <xdr:to>
      <xdr:col>1</xdr:col>
      <xdr:colOff>655403</xdr:colOff>
      <xdr:row>0</xdr:row>
      <xdr:rowOff>666750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E906EA-E54A-448C-8881-5A9B297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63" y="56314"/>
          <a:ext cx="1333103" cy="610436"/>
        </a:xfrm>
        <a:prstGeom prst="rect">
          <a:avLst/>
        </a:prstGeom>
      </xdr:spPr>
    </xdr:pic>
    <xdr:clientData/>
  </xdr:twoCellAnchor>
  <xdr:twoCellAnchor editAs="oneCell">
    <xdr:from>
      <xdr:col>10</xdr:col>
      <xdr:colOff>17271</xdr:colOff>
      <xdr:row>1</xdr:row>
      <xdr:rowOff>77319</xdr:rowOff>
    </xdr:from>
    <xdr:to>
      <xdr:col>16</xdr:col>
      <xdr:colOff>110775</xdr:colOff>
      <xdr:row>20</xdr:row>
      <xdr:rowOff>151611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3FDD11D-2607-4082-BA00-DAB1523FC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78427" y="815507"/>
          <a:ext cx="4645214" cy="3105623"/>
        </a:xfrm>
        <a:prstGeom prst="rect">
          <a:avLst/>
        </a:prstGeom>
      </xdr:spPr>
    </xdr:pic>
    <xdr:clientData/>
  </xdr:twoCellAnchor>
  <xdr:oneCellAnchor>
    <xdr:from>
      <xdr:col>15</xdr:col>
      <xdr:colOff>781048</xdr:colOff>
      <xdr:row>0</xdr:row>
      <xdr:rowOff>457196</xdr:rowOff>
    </xdr:from>
    <xdr:ext cx="518006" cy="354808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C4694A9-A2E0-41CF-BE53-0707075D6B3B}"/>
            </a:ext>
          </a:extLst>
        </xdr:cNvPr>
        <xdr:cNvSpPr txBox="1"/>
      </xdr:nvSpPr>
      <xdr:spPr>
        <a:xfrm>
          <a:off x="13580267" y="457196"/>
          <a:ext cx="518006" cy="3548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>
              <a:solidFill>
                <a:schemeClr val="tx1"/>
              </a:solidFill>
            </a:rPr>
            <a:t>by</a:t>
          </a:r>
        </a:p>
      </xdr:txBody>
    </xdr:sp>
    <xdr:clientData/>
  </xdr:oneCellAnchor>
  <xdr:twoCellAnchor>
    <xdr:from>
      <xdr:col>16</xdr:col>
      <xdr:colOff>297656</xdr:colOff>
      <xdr:row>0</xdr:row>
      <xdr:rowOff>45241</xdr:rowOff>
    </xdr:from>
    <xdr:to>
      <xdr:col>17</xdr:col>
      <xdr:colOff>916081</xdr:colOff>
      <xdr:row>0</xdr:row>
      <xdr:rowOff>654844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370C0B97-4297-43F6-9CAE-520D0A0C6245}"/>
            </a:ext>
          </a:extLst>
        </xdr:cNvPr>
        <xdr:cNvGrpSpPr/>
      </xdr:nvGrpSpPr>
      <xdr:grpSpPr>
        <a:xfrm>
          <a:off x="19450233" y="50003"/>
          <a:ext cx="1336463" cy="604841"/>
          <a:chOff x="11392714" y="6425162"/>
          <a:chExt cx="692250" cy="344266"/>
        </a:xfrm>
      </xdr:grpSpPr>
      <xdr:pic>
        <xdr:nvPicPr>
          <xdr:cNvPr id="7" name="Imagem 6" descr="Desenho de animal com fundo preto&#10;&#10;Descrição gerada automaticamente com confiança baixa">
            <a:extLst>
              <a:ext uri="{FF2B5EF4-FFF2-40B4-BE49-F238E27FC236}">
                <a16:creationId xmlns:a16="http://schemas.microsoft.com/office/drawing/2014/main" id="{81D44D47-6475-AD5D-5585-2F95F7BB27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392714" y="6425162"/>
            <a:ext cx="323398" cy="337030"/>
          </a:xfrm>
          <a:prstGeom prst="roundRect">
            <a:avLst>
              <a:gd name="adj" fmla="val 8594"/>
            </a:avLst>
          </a:prstGeom>
          <a:solidFill>
            <a:srgbClr val="FFFFFF">
              <a:shade val="85000"/>
            </a:srgbClr>
          </a:solidFill>
          <a:ln>
            <a:noFill/>
          </a:ln>
          <a:effectLst>
            <a:reflection blurRad="12700" stA="38000" endPos="28000" dist="5000" dir="5400000" sy="-100000" algn="bl" rotWithShape="0"/>
          </a:effectLst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A6DC0A0E-F037-0D22-FF8F-DB921B672A4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10928" t="11117" r="16365" b="8040"/>
          <a:stretch/>
        </xdr:blipFill>
        <xdr:spPr>
          <a:xfrm>
            <a:off x="11736990" y="6428146"/>
            <a:ext cx="347974" cy="341282"/>
          </a:xfrm>
          <a:prstGeom prst="roundRect">
            <a:avLst>
              <a:gd name="adj" fmla="val 8594"/>
            </a:avLst>
          </a:prstGeom>
          <a:solidFill>
            <a:srgbClr val="FFFFFF">
              <a:shade val="85000"/>
            </a:srgbClr>
          </a:solidFill>
          <a:ln>
            <a:noFill/>
          </a:ln>
          <a:effectLst>
            <a:reflection blurRad="12700" stA="38000" endPos="28000" dist="5000" dir="5400000" sy="-100000" algn="bl" rotWithShape="0"/>
          </a:effectLst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´OR by Vagner Ribeiro" refreshedDate="45570.436909259261" createdVersion="8" refreshedVersion="8" minRefreshableVersion="3" recordCount="269" xr:uid="{06374055-946E-475B-AD19-94279DBA0F4F}">
  <cacheSource type="worksheet">
    <worksheetSource ref="B1:H270" sheet="ATIVIDADES E APONTAMENTOS"/>
  </cacheSource>
  <cacheFields count="10">
    <cacheField name="TAREFA" numFmtId="0">
      <sharedItems/>
    </cacheField>
    <cacheField name="SETOR" numFmtId="0">
      <sharedItems containsBlank="1"/>
    </cacheField>
    <cacheField name="ATIVIDADE" numFmtId="0">
      <sharedItems containsBlank="1"/>
    </cacheField>
    <cacheField name="ATRIBUÍDO _x000a_PARA" numFmtId="0">
      <sharedItems count="11">
        <s v="Kadu"/>
        <s v="Brea"/>
        <s v="Nikolas"/>
        <e v="#N/A"/>
        <s v="Lohan"/>
        <s v="Rita"/>
        <s v="Gabriel"/>
        <s v="Arthur"/>
        <s v="Edna"/>
        <s v="Paulique"/>
        <s v="Rapucci"/>
      </sharedItems>
    </cacheField>
    <cacheField name="Tempo Previsto (min)" numFmtId="2">
      <sharedItems containsString="0" containsBlank="1" containsNumber="1" containsInteger="1" minValue="0" maxValue="240"/>
    </cacheField>
    <cacheField name="Tempo Real (min" numFmtId="2">
      <sharedItems containsString="0" containsBlank="1" containsNumber="1" containsInteger="1" minValue="15" maxValue="330"/>
    </cacheField>
    <cacheField name="% Conclusão" numFmtId="9">
      <sharedItems containsString="0" containsBlank="1" containsNumber="1" minValue="0" maxValue="1"/>
    </cacheField>
    <cacheField name="Campo1" numFmtId="0" formula="'Tempo Previsto (min)'/60" databaseField="0"/>
    <cacheField name="Campo2" numFmtId="0" formula="'Tempo Real (min'/60" databaseField="0"/>
    <cacheField name="Campo3" numFmtId="0" formula="(Campo2/Campo1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´OR by Vagner Ribeiro" refreshedDate="45570.436910532408" createdVersion="8" refreshedVersion="8" minRefreshableVersion="3" recordCount="500" xr:uid="{E1275637-9543-4F18-BA79-341CFFF33D58}">
  <cacheSource type="worksheet">
    <worksheetSource ref="G1:L501" sheet="PRG01"/>
  </cacheSource>
  <cacheFields count="7">
    <cacheField name="TAREFA" numFmtId="0">
      <sharedItems count="21">
        <s v="1 - RETIRADA DE PEÇAS DO VEÍCULO/BALCÃO"/>
        <s v="Não Executar"/>
        <s v="2 - LIMPEZA INICIAL"/>
        <s v="3 - ISOLANTE OU FELTRO"/>
        <s v="4 - TETO"/>
        <s v="5 - CINTOS"/>
        <s v="6 -  CARPETE / ASSOALHO    ( NOVO ? / MOLDADO ? / PORSCHE ?)"/>
        <s v="7 - CONSOLE CENTRAL + PEÇAS"/>
        <s v="8 - PORTA MALAS"/>
        <s v="9 - TAMPA TRASEIRA"/>
        <s v="10 - LATERAIS TRASEIRAS"/>
        <s v="11 - OMBREIRA"/>
        <s v="15 - BANCOS DIANTEIROS"/>
        <s v="16 - VOLANTE"/>
        <s v="12 - FORROS DE PORTAS" u="1"/>
        <s v="13 - ACABAMENTOS" u="1"/>
        <s v="19 - LIMPEZA FINAL" u="1"/>
        <s v="20 - INPEÇÃO DE QUALIDADE" u="1"/>
        <s v="18 - MONTAGEM VEÍCULO" u="1"/>
        <s v="17 - TAMPÃO" u="1"/>
        <s v="14 - BANCOS TRASEIROS" u="1"/>
      </sharedItems>
    </cacheField>
    <cacheField name="SETOR" numFmtId="0">
      <sharedItems containsBlank="1" containsMixedTypes="1" containsNumber="1" containsInteger="1" minValue="0" maxValue="0"/>
    </cacheField>
    <cacheField name="ATIVIDADE" numFmtId="0">
      <sharedItems containsBlank="1" containsMixedTypes="1" containsNumber="1" containsInteger="1" minValue="0" maxValue="0"/>
    </cacheField>
    <cacheField name="ATRIBUÍDO _x000a_PARA" numFmtId="0">
      <sharedItems containsBlank="1" count="19">
        <s v="Kadu"/>
        <s v="Brea"/>
        <s v="Nikolas"/>
        <s v="Não Executar"/>
        <m/>
        <s v="Lohan"/>
        <s v="Rita"/>
        <s v="Gabriel"/>
        <s v="Arthur"/>
        <s v="Edna"/>
        <s v="Paulique"/>
        <s v="Rapucci" u="1"/>
        <s v="Marcio" u="1"/>
        <s v="Lohan/Kadu/Nikolas" u="1"/>
        <s v="Arthur/Gabriel" u="1"/>
        <s v="Lohan/Kadu/Nikolas/Arthur" u="1"/>
        <s v="Gabriel/Arthur/Kadu" u="1"/>
        <s v="Rita/Arthur" u="1"/>
        <s v="Nikolas/Kadu" u="1"/>
      </sharedItems>
    </cacheField>
    <cacheField name="Minutos" numFmtId="0">
      <sharedItems containsString="0" containsBlank="1" containsNumber="1" containsInteger="1" minValue="0" maxValue="240"/>
    </cacheField>
    <cacheField name="Horas" numFmtId="164">
      <sharedItems containsSemiMixedTypes="0" containsString="0" containsNumber="1" minValue="0" maxValue="4"/>
    </cacheField>
    <cacheField name="Campo1" numFmtId="0" formula="#NAME?/6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´OR by Vagner Ribeiro" refreshedDate="45570.436911689816" createdVersion="8" refreshedVersion="8" minRefreshableVersion="3" recordCount="270" xr:uid="{1FBB4AF9-F71F-4D62-AF84-04402073428C}">
  <cacheSource type="worksheet">
    <worksheetSource ref="B1:H300" sheet="ATIVIDADES E APONTAMENTOS"/>
  </cacheSource>
  <cacheFields count="9">
    <cacheField name="TAREFA" numFmtId="0">
      <sharedItems containsBlank="1" count="21">
        <s v="1 - RETIRADA DE PEÇAS DO VEÍCULO/BALCÃO"/>
        <s v="2 - LIMPEZA INICIAL"/>
        <s v="3 - ISOLANTE OU FELTRO"/>
        <s v="4 - TETO"/>
        <s v="5 - CINTOS"/>
        <s v="6 -  CARPETE / ASSOALHO    ( NOVO ? / MOLDADO ? / PORSCHE ?)"/>
        <s v="7 - CONSOLE CENTRAL + PEÇAS"/>
        <s v="8 - PORTA MALAS"/>
        <s v="9 - TAMPA TRASEIRA"/>
        <s v="10 - LATERAIS TRASEIRAS"/>
        <s v="11 - OMBREIRA"/>
        <s v="12 - FORROS DE PORTAS"/>
        <s v="13 - ACABAMENTOS"/>
        <s v="14 - BANCOS TRASEIROS"/>
        <s v="15 - BANCOS DIANTEIROS"/>
        <s v="16 - VOLANTE"/>
        <s v="17 - TAMPÃO"/>
        <s v="18 - MONTAGEM VEÍCULO"/>
        <s v="19 - LIMPEZA FINAL"/>
        <s v="20 - INPEÇÃO DE QUALIDADE"/>
        <m/>
      </sharedItems>
    </cacheField>
    <cacheField name="SETOR" numFmtId="0">
      <sharedItems containsBlank="1"/>
    </cacheField>
    <cacheField name="ATIVIDADE" numFmtId="0">
      <sharedItems containsBlank="1"/>
    </cacheField>
    <cacheField name="ATRIBUÍDO _x000a_PARA" numFmtId="0">
      <sharedItems containsBlank="1"/>
    </cacheField>
    <cacheField name="Tempo Previsto (min)" numFmtId="2">
      <sharedItems containsString="0" containsBlank="1" containsNumber="1" containsInteger="1" minValue="0" maxValue="240"/>
    </cacheField>
    <cacheField name="Tempo Real (min" numFmtId="2">
      <sharedItems containsString="0" containsBlank="1" containsNumber="1" containsInteger="1" minValue="15" maxValue="330"/>
    </cacheField>
    <cacheField name="% Conclusão" numFmtId="9">
      <sharedItems containsString="0" containsBlank="1" containsNumber="1" minValue="0" maxValue="1"/>
    </cacheField>
    <cacheField name="Campo1" numFmtId="0" formula="'Tempo Real (min'/60" databaseField="0"/>
    <cacheField name="Campo2" numFmtId="0" formula="'Tempo Real (min'/'Tempo Previsto (min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s v="1 - RETIRADA DE PEÇAS DO VEÍCULO/BALCÃO"/>
    <s v="DESMONTAGEM"/>
    <s v="Verificar se não tem nenhuma peça quebrada ou faltante, riscos externos e internos (Checklist durante desmontagem (Foto/Filmagem)"/>
    <x v="0"/>
    <n v="15"/>
    <n v="15"/>
    <n v="1"/>
  </r>
  <r>
    <s v="1 - RETIRADA DE PEÇAS DO VEÍCULO/BALCÃO"/>
    <s v="DESMONTAGEM"/>
    <s v="Retirada do volante (se necessário)"/>
    <x v="0"/>
    <n v="20"/>
    <n v="20"/>
    <n v="1"/>
  </r>
  <r>
    <s v="1 - RETIRADA DE PEÇAS DO VEÍCULO/BALCÃO"/>
    <s v="DESMONTAGEM"/>
    <s v="Retirar bancos D/T"/>
    <x v="0"/>
    <n v="10"/>
    <n v="20"/>
    <n v="1"/>
  </r>
  <r>
    <s v="1 - RETIRADA DE PEÇAS DO VEÍCULO/BALCÃO"/>
    <s v="DESMONTAGEM"/>
    <s v="Retirar Laterais D/T + Ombreiras"/>
    <x v="1"/>
    <n v="15"/>
    <n v="15"/>
    <n v="1"/>
  </r>
  <r>
    <s v="1 - RETIRADA DE PEÇAS DO VEÍCULO/BALCÃO"/>
    <s v="DESMONTAGEM"/>
    <s v="Retirar console + carpete do assoalho "/>
    <x v="2"/>
    <n v="40"/>
    <n v="40"/>
    <n v="1"/>
  </r>
  <r>
    <s v="1 - RETIRADA DE PEÇAS DO VEÍCULO/BALCÃO"/>
    <s v="DESMONTAGEM"/>
    <s v="Retirada da lateral do porta-malas "/>
    <x v="2"/>
    <n v="15"/>
    <n v="15"/>
    <n v="0.1"/>
  </r>
  <r>
    <s v="1 - RETIRADA DE PEÇAS DO VEÍCULO/BALCÃO"/>
    <s v="DESMONTAGEM"/>
    <s v="Retirada do carpete da caixa de rodas +chão do porta-malas e prateleiras do tampão."/>
    <x v="2"/>
    <n v="30"/>
    <n v="330"/>
    <n v="1"/>
  </r>
  <r>
    <s v="1 - RETIRADA DE PEÇAS DO VEÍCULO/BALCÃO"/>
    <s v="DESMONTAGEM"/>
    <s v="Retirada do teto + acessórios  e colunas. "/>
    <x v="2"/>
    <n v="60"/>
    <n v="60"/>
    <n v="1"/>
  </r>
  <r>
    <s v="1 - RETIRADA DE PEÇAS DO VEÍCULO/BALCÃO"/>
    <m/>
    <m/>
    <x v="3"/>
    <m/>
    <m/>
    <m/>
  </r>
  <r>
    <s v="1 - RETIRADA DE PEÇAS DO VEÍCULO/BALCÃO"/>
    <m/>
    <m/>
    <x v="3"/>
    <m/>
    <m/>
    <m/>
  </r>
  <r>
    <s v="1 - RETIRADA DE PEÇAS DO VEÍCULO/BALCÃO"/>
    <m/>
    <m/>
    <x v="3"/>
    <m/>
    <m/>
    <m/>
  </r>
  <r>
    <s v="1 - RETIRADA DE PEÇAS DO VEÍCULO/BALCÃO"/>
    <m/>
    <m/>
    <x v="3"/>
    <m/>
    <m/>
    <m/>
  </r>
  <r>
    <s v="1 - RETIRADA DE PEÇAS DO VEÍCULO/BALCÃO"/>
    <m/>
    <m/>
    <x v="3"/>
    <m/>
    <m/>
    <m/>
  </r>
  <r>
    <s v="1 - RETIRADA DE PEÇAS DO VEÍCULO/BALCÃO"/>
    <m/>
    <m/>
    <x v="3"/>
    <m/>
    <m/>
    <m/>
  </r>
  <r>
    <s v="2 - LIMPEZA INICIAL"/>
    <s v="PREPARAÇÃO"/>
    <s v="Aspiração detalhada "/>
    <x v="4"/>
    <n v="25"/>
    <n v="50"/>
    <n v="1"/>
  </r>
  <r>
    <s v="2 - LIMPEZA INICIAL"/>
    <m/>
    <m/>
    <x v="3"/>
    <m/>
    <m/>
    <m/>
  </r>
  <r>
    <s v="2 - LIMPEZA INICIAL"/>
    <m/>
    <m/>
    <x v="3"/>
    <m/>
    <m/>
    <m/>
  </r>
  <r>
    <s v="2 - LIMPEZA INICIAL"/>
    <m/>
    <m/>
    <x v="3"/>
    <m/>
    <m/>
    <m/>
  </r>
  <r>
    <s v="2 - LIMPEZA INICIAL"/>
    <m/>
    <m/>
    <x v="3"/>
    <m/>
    <m/>
    <m/>
  </r>
  <r>
    <s v="2 - LIMPEZA INICIAL"/>
    <m/>
    <m/>
    <x v="3"/>
    <m/>
    <m/>
    <m/>
  </r>
  <r>
    <s v="2 - LIMPEZA INICIAL"/>
    <m/>
    <m/>
    <x v="3"/>
    <m/>
    <m/>
    <m/>
  </r>
  <r>
    <s v="2 - LIMPEZA INICIAL"/>
    <m/>
    <m/>
    <x v="3"/>
    <m/>
    <m/>
    <m/>
  </r>
  <r>
    <s v="3 - ISOLANTE OU FELTRO"/>
    <s v="CORTE"/>
    <s v="Cortar Feltro seguindo molde assoalho "/>
    <x v="5"/>
    <n v="45"/>
    <n v="90"/>
    <n v="0"/>
  </r>
  <r>
    <s v="3 - ISOLANTE OU FELTRO"/>
    <s v="APLICAÇÃO COLA"/>
    <s v="Aplicar cola  no feltro"/>
    <x v="4"/>
    <n v="20"/>
    <m/>
    <n v="0"/>
  </r>
  <r>
    <s v="3 - ISOLANTE OU FELTRO"/>
    <s v="PREPARAÇÃO"/>
    <s v="Colagem do feltro no assoalho"/>
    <x v="4"/>
    <n v="40"/>
    <m/>
    <n v="0"/>
  </r>
  <r>
    <s v="3 - ISOLANTE OU FELTRO"/>
    <s v="PREPARAÇÃO"/>
    <s v="Aplicar feltro no teto"/>
    <x v="4"/>
    <n v="60"/>
    <m/>
    <n v="0"/>
  </r>
  <r>
    <s v="3 - ISOLANTE OU FELTRO"/>
    <s v="PREPARAÇÃO"/>
    <s v="Aplicar isolante no assoalho"/>
    <x v="4"/>
    <n v="90"/>
    <m/>
    <n v="0"/>
  </r>
  <r>
    <s v="3 - ISOLANTE OU FELTRO"/>
    <s v="PREPARAÇÃO"/>
    <s v="Aplicar isolante no teto"/>
    <x v="4"/>
    <n v="90"/>
    <m/>
    <n v="0"/>
  </r>
  <r>
    <s v="3 - ISOLANTE OU FELTRO"/>
    <m/>
    <m/>
    <x v="3"/>
    <m/>
    <m/>
    <m/>
  </r>
  <r>
    <s v="3 - ISOLANTE OU FELTRO"/>
    <m/>
    <m/>
    <x v="3"/>
    <m/>
    <m/>
    <m/>
  </r>
  <r>
    <s v="3 - ISOLANTE OU FELTRO"/>
    <m/>
    <m/>
    <x v="3"/>
    <m/>
    <m/>
    <m/>
  </r>
  <r>
    <s v="3 - ISOLANTE OU FELTRO"/>
    <m/>
    <m/>
    <x v="3"/>
    <m/>
    <m/>
    <m/>
  </r>
  <r>
    <s v="3 - ISOLANTE OU FELTRO"/>
    <m/>
    <m/>
    <x v="3"/>
    <m/>
    <m/>
    <m/>
  </r>
  <r>
    <s v="3 - ISOLANTE OU FELTRO"/>
    <m/>
    <m/>
    <x v="3"/>
    <m/>
    <m/>
    <m/>
  </r>
  <r>
    <s v="3 - ISOLANTE OU FELTRO"/>
    <m/>
    <m/>
    <x v="3"/>
    <m/>
    <m/>
    <m/>
  </r>
  <r>
    <s v="4 - TETO"/>
    <s v="DESMONTAGEM"/>
    <s v="Desmontar teto e colunas"/>
    <x v="2"/>
    <n v="80"/>
    <m/>
    <n v="0"/>
  </r>
  <r>
    <s v="4 - TETO"/>
    <s v="PREPARAÇÃO"/>
    <s v="Remoção tecido antigo e limpeza"/>
    <x v="2"/>
    <n v="240"/>
    <m/>
    <n v="0"/>
  </r>
  <r>
    <s v="4 - TETO"/>
    <s v="PREPARAÇÃO"/>
    <s v="Limpeza das colunas originais"/>
    <x v="2"/>
    <n v="60"/>
    <m/>
    <n v="0"/>
  </r>
  <r>
    <s v="4 - TETO"/>
    <s v="CORTE"/>
    <s v="Corte do novo tecido"/>
    <x v="5"/>
    <n v="15"/>
    <m/>
    <n v="0"/>
  </r>
  <r>
    <s v="4 - TETO"/>
    <s v="APLICAÇÃO COLA"/>
    <s v="Aplicação cola no teto e no tecido"/>
    <x v="2"/>
    <n v="30"/>
    <m/>
    <n v="0"/>
  </r>
  <r>
    <s v="4 - TETO"/>
    <s v="COLAGEM"/>
    <s v="Revestir o teto com tecido novo"/>
    <x v="6"/>
    <n v="80"/>
    <m/>
    <n v="0"/>
  </r>
  <r>
    <s v="4 - TETO"/>
    <s v="MONTAGEM"/>
    <s v="Montar teto e colunas"/>
    <x v="7"/>
    <n v="80"/>
    <m/>
    <n v="0"/>
  </r>
  <r>
    <s v="4 - TETO"/>
    <m/>
    <m/>
    <x v="3"/>
    <m/>
    <m/>
    <m/>
  </r>
  <r>
    <s v="4 - TETO"/>
    <m/>
    <m/>
    <x v="3"/>
    <m/>
    <m/>
    <m/>
  </r>
  <r>
    <s v="4 - TETO"/>
    <m/>
    <m/>
    <x v="3"/>
    <m/>
    <m/>
    <m/>
  </r>
  <r>
    <s v="4 - TETO"/>
    <m/>
    <m/>
    <x v="3"/>
    <m/>
    <m/>
    <m/>
  </r>
  <r>
    <s v="4 - TETO"/>
    <m/>
    <m/>
    <x v="3"/>
    <m/>
    <m/>
    <m/>
  </r>
  <r>
    <s v="4 - TETO"/>
    <m/>
    <m/>
    <x v="3"/>
    <m/>
    <m/>
    <m/>
  </r>
  <r>
    <s v="5 - CINTOS"/>
    <s v="MONTAGEM"/>
    <s v="Instalaçao cinto de 3 pontos retrateis - novos BRV"/>
    <x v="7"/>
    <n v="10"/>
    <m/>
    <n v="0"/>
  </r>
  <r>
    <s v="5 - CINTOS"/>
    <s v="MONTAGEM"/>
    <s v="Instalação de cintos abdominais traseiros 3 pçs - BRV"/>
    <x v="7"/>
    <n v="15"/>
    <m/>
    <n v="0"/>
  </r>
  <r>
    <s v="5 - CINTOS"/>
    <m/>
    <m/>
    <x v="3"/>
    <m/>
    <m/>
    <m/>
  </r>
  <r>
    <s v="5 - CINTOS"/>
    <m/>
    <m/>
    <x v="3"/>
    <m/>
    <m/>
    <m/>
  </r>
  <r>
    <s v="5 - CINTOS"/>
    <m/>
    <m/>
    <x v="3"/>
    <m/>
    <m/>
    <m/>
  </r>
  <r>
    <s v="5 - CINTOS"/>
    <m/>
    <m/>
    <x v="3"/>
    <m/>
    <m/>
    <m/>
  </r>
  <r>
    <s v="5 - CINTOS"/>
    <m/>
    <m/>
    <x v="3"/>
    <m/>
    <m/>
    <m/>
  </r>
  <r>
    <s v="5 - CINTOS"/>
    <m/>
    <m/>
    <x v="3"/>
    <m/>
    <m/>
    <m/>
  </r>
  <r>
    <s v="6 -  CARPETE / ASSOALHO    ( NOVO ? / MOLDADO ? / PORSCHE ?)"/>
    <s v="PREPARAÇÃO"/>
    <m/>
    <x v="4"/>
    <m/>
    <m/>
    <m/>
  </r>
  <r>
    <s v="6 -  CARPETE / ASSOALHO    ( NOVO ? / MOLDADO ? / PORSCHE ?)"/>
    <s v="PREPARAÇÃO"/>
    <m/>
    <x v="4"/>
    <m/>
    <m/>
    <m/>
  </r>
  <r>
    <s v="6 -  CARPETE / ASSOALHO    ( NOVO ? / MOLDADO ? / PORSCHE ?)"/>
    <s v="COSTURA"/>
    <m/>
    <x v="8"/>
    <m/>
    <m/>
    <m/>
  </r>
  <r>
    <s v="6 -  CARPETE / ASSOALHO    ( NOVO ? / MOLDADO ? / PORSCHE ?)"/>
    <s v="MONTAGEM"/>
    <s v="Instalação Carpete no Assoalho "/>
    <x v="7"/>
    <n v="60"/>
    <m/>
    <n v="0"/>
  </r>
  <r>
    <s v="6 -  CARPETE / ASSOALHO    ( NOVO ? / MOLDADO ? / PORSCHE ?)"/>
    <m/>
    <m/>
    <x v="3"/>
    <m/>
    <m/>
    <m/>
  </r>
  <r>
    <s v="6 -  CARPETE / ASSOALHO    ( NOVO ? / MOLDADO ? / PORSCHE ?)"/>
    <m/>
    <m/>
    <x v="3"/>
    <m/>
    <m/>
    <m/>
  </r>
  <r>
    <s v="6 -  CARPETE / ASSOALHO    ( NOVO ? / MOLDADO ? / PORSCHE ?)"/>
    <m/>
    <m/>
    <x v="3"/>
    <m/>
    <m/>
    <m/>
  </r>
  <r>
    <s v="6 -  CARPETE / ASSOALHO    ( NOVO ? / MOLDADO ? / PORSCHE ?)"/>
    <m/>
    <m/>
    <x v="3"/>
    <m/>
    <m/>
    <m/>
  </r>
  <r>
    <s v="6 -  CARPETE / ASSOALHO    ( NOVO ? / MOLDADO ? / PORSCHE ?)"/>
    <m/>
    <m/>
    <x v="3"/>
    <m/>
    <m/>
    <m/>
  </r>
  <r>
    <s v="7 - CONSOLE CENTRAL + PEÇAS"/>
    <s v="MONTAGEM"/>
    <s v="instalação de console + prolongador "/>
    <x v="7"/>
    <n v="10"/>
    <m/>
    <n v="0"/>
  </r>
  <r>
    <s v="7 - CONSOLE CENTRAL + PEÇAS"/>
    <s v="MONTAGEM"/>
    <s v="instalação do acabamento do freio de mão"/>
    <x v="7"/>
    <m/>
    <m/>
    <m/>
  </r>
  <r>
    <s v="7 - CONSOLE CENTRAL + PEÇAS"/>
    <s v="MONTAGEM"/>
    <s v="instalação na manopla de cambio BRV"/>
    <x v="7"/>
    <n v="10"/>
    <m/>
    <n v="0"/>
  </r>
  <r>
    <s v="7 - CONSOLE CENTRAL + PEÇAS"/>
    <m/>
    <m/>
    <x v="3"/>
    <m/>
    <m/>
    <m/>
  </r>
  <r>
    <s v="7 - CONSOLE CENTRAL + PEÇAS"/>
    <m/>
    <m/>
    <x v="3"/>
    <m/>
    <m/>
    <m/>
  </r>
  <r>
    <s v="7 - CONSOLE CENTRAL + PEÇAS"/>
    <m/>
    <m/>
    <x v="3"/>
    <m/>
    <m/>
    <m/>
  </r>
  <r>
    <s v="7 - CONSOLE CENTRAL + PEÇAS"/>
    <m/>
    <m/>
    <x v="3"/>
    <m/>
    <m/>
    <m/>
  </r>
  <r>
    <s v="7 - CONSOLE CENTRAL + PEÇAS"/>
    <m/>
    <m/>
    <x v="3"/>
    <m/>
    <m/>
    <m/>
  </r>
  <r>
    <s v="7 - CONSOLE CENTRAL + PEÇAS"/>
    <m/>
    <m/>
    <x v="3"/>
    <m/>
    <m/>
    <m/>
  </r>
  <r>
    <s v="8 - PORTA MALAS"/>
    <s v="CORTE"/>
    <s v="Cortar carpete do fundo do porta malas"/>
    <x v="5"/>
    <n v="20"/>
    <m/>
    <n v="0"/>
  </r>
  <r>
    <s v="8 - PORTA MALAS"/>
    <s v="CORTE"/>
    <s v="Cortar carpete da caixa de roda"/>
    <x v="5"/>
    <n v="10"/>
    <m/>
    <n v="0"/>
  </r>
  <r>
    <s v="8 - PORTA MALAS"/>
    <s v="COLAGEM"/>
    <s v="Aplicar cola para adesão no assoalho do porta malas e caixas de rodas e lateral do tampão"/>
    <x v="6"/>
    <n v="30"/>
    <m/>
    <n v="0"/>
  </r>
  <r>
    <s v="8 - PORTA MALAS"/>
    <s v="COLAGEM"/>
    <s v=" Colar  carpete da lateral do tampao"/>
    <x v="6"/>
    <n v="10"/>
    <m/>
    <n v="0"/>
  </r>
  <r>
    <s v="8 - PORTA MALAS"/>
    <s v="MODELAGEM"/>
    <s v="Modelar carpete nas caixas de rodas"/>
    <x v="7"/>
    <n v="50"/>
    <m/>
    <n v="0"/>
  </r>
  <r>
    <s v="8 - PORTA MALAS"/>
    <s v="MODELAGEM"/>
    <s v="Modelar carpete do fundo do porta malas"/>
    <x v="7"/>
    <n v="50"/>
    <m/>
    <n v="0"/>
  </r>
  <r>
    <s v="8 - PORTA MALAS"/>
    <s v="PRÉ-MONTAGEM"/>
    <s v="Instalar kit de lateral do porta malas BRV"/>
    <x v="0"/>
    <n v="5"/>
    <m/>
    <n v="0"/>
  </r>
  <r>
    <s v="8 - PORTA MALAS"/>
    <s v="MODELAGEM"/>
    <s v="Instatalação da capa de macaco e triângulo (cor)"/>
    <x v="7"/>
    <n v="5"/>
    <m/>
    <n v="0"/>
  </r>
  <r>
    <s v="8 - PORTA MALAS"/>
    <s v="MODELAGEM"/>
    <s v="insalação da capa de estepe (cor?)"/>
    <x v="7"/>
    <n v="5"/>
    <m/>
    <n v="0"/>
  </r>
  <r>
    <s v="8 - PORTA MALAS"/>
    <m/>
    <m/>
    <x v="3"/>
    <m/>
    <m/>
    <m/>
  </r>
  <r>
    <s v="8 - PORTA MALAS"/>
    <m/>
    <m/>
    <x v="3"/>
    <m/>
    <m/>
    <m/>
  </r>
  <r>
    <s v="8 - PORTA MALAS"/>
    <m/>
    <m/>
    <x v="3"/>
    <m/>
    <m/>
    <m/>
  </r>
  <r>
    <s v="8 - PORTA MALAS"/>
    <m/>
    <m/>
    <x v="3"/>
    <m/>
    <m/>
    <m/>
  </r>
  <r>
    <s v="8 - PORTA MALAS"/>
    <m/>
    <m/>
    <x v="3"/>
    <m/>
    <m/>
    <m/>
  </r>
  <r>
    <s v="8 - PORTA MALAS"/>
    <m/>
    <m/>
    <x v="3"/>
    <m/>
    <m/>
    <m/>
  </r>
  <r>
    <s v="9 - TAMPA TRASEIRA"/>
    <s v="DESMONTAGEM"/>
    <s v="Desmontar peça para preparação"/>
    <x v="4"/>
    <n v="10"/>
    <m/>
    <n v="0"/>
  </r>
  <r>
    <s v="9 - TAMPA TRASEIRA"/>
    <s v="PREPARAÇÃO"/>
    <s v="Raspar/Lixar"/>
    <x v="4"/>
    <n v="60"/>
    <m/>
    <n v="0"/>
  </r>
  <r>
    <s v="9 - TAMPA TRASEIRA"/>
    <s v="PREPARAÇÃO"/>
    <s v="Limpar e inspecionar"/>
    <x v="4"/>
    <n v="15"/>
    <m/>
    <n v="0"/>
  </r>
  <r>
    <s v="9 - TAMPA TRASEIRA"/>
    <s v="CORTE"/>
    <s v="Cortar corvin"/>
    <x v="5"/>
    <n v="10"/>
    <m/>
    <n v="0"/>
  </r>
  <r>
    <s v="9 - TAMPA TRASEIRA"/>
    <s v="APLICAÇÃO COLA"/>
    <s v="Aplicar cola"/>
    <x v="4"/>
    <n v="15"/>
    <m/>
    <n v="0"/>
  </r>
  <r>
    <s v="9 - TAMPA TRASEIRA"/>
    <s v="COLAGEM"/>
    <s v="Colar peça"/>
    <x v="6"/>
    <n v="40"/>
    <m/>
    <n v="0"/>
  </r>
  <r>
    <s v="9 - TAMPA TRASEIRA"/>
    <s v="PRÉ-MONTAGEM"/>
    <s v="Finalizar com dobra e aplicação de grampo"/>
    <x v="0"/>
    <n v="20"/>
    <m/>
    <n v="0"/>
  </r>
  <r>
    <s v="9 - TAMPA TRASEIRA"/>
    <m/>
    <m/>
    <x v="3"/>
    <m/>
    <m/>
    <m/>
  </r>
  <r>
    <s v="9 - TAMPA TRASEIRA"/>
    <m/>
    <m/>
    <x v="3"/>
    <m/>
    <m/>
    <m/>
  </r>
  <r>
    <s v="9 - TAMPA TRASEIRA"/>
    <m/>
    <m/>
    <x v="3"/>
    <m/>
    <m/>
    <m/>
  </r>
  <r>
    <s v="9 - TAMPA TRASEIRA"/>
    <m/>
    <m/>
    <x v="3"/>
    <m/>
    <m/>
    <m/>
  </r>
  <r>
    <s v="9 - TAMPA TRASEIRA"/>
    <m/>
    <m/>
    <x v="3"/>
    <m/>
    <m/>
    <m/>
  </r>
  <r>
    <s v="9 - TAMPA TRASEIRA"/>
    <m/>
    <m/>
    <x v="3"/>
    <m/>
    <m/>
    <m/>
  </r>
  <r>
    <s v="10 - LATERAIS TRASEIRAS"/>
    <s v="PREPARAÇÃO"/>
    <s v="remoção do tecido/courvin para a preparação  "/>
    <x v="4"/>
    <n v="10"/>
    <m/>
    <n v="0"/>
  </r>
  <r>
    <s v="10 - LATERAIS TRASEIRAS"/>
    <s v="PREPARAÇÃO"/>
    <s v="raspar/lixar"/>
    <x v="4"/>
    <n v="160"/>
    <m/>
    <n v="0"/>
  </r>
  <r>
    <s v="10 - LATERAIS TRASEIRAS"/>
    <s v="PREPARAÇÃO"/>
    <s v="Limpar e inspecionar"/>
    <x v="4"/>
    <n v="10"/>
    <m/>
    <n v="0"/>
  </r>
  <r>
    <s v="10 - LATERAIS TRASEIRAS"/>
    <s v="PREPARAÇÃO"/>
    <s v=" reparo estrutural"/>
    <x v="4"/>
    <n v="10"/>
    <m/>
    <n v="0"/>
  </r>
  <r>
    <s v="10 - LATERAIS TRASEIRAS"/>
    <s v="CORTE"/>
    <s v="cortar tecido "/>
    <x v="5"/>
    <n v="15"/>
    <m/>
    <n v="0"/>
  </r>
  <r>
    <s v="10 - LATERAIS TRASEIRAS"/>
    <s v="COLAGEM"/>
    <s v="aplicação de cola contato no tecido e laterais"/>
    <x v="6"/>
    <n v="20"/>
    <m/>
    <n v="0"/>
  </r>
  <r>
    <s v="10 - LATERAIS TRASEIRAS"/>
    <s v="COLAGEM"/>
    <s v="colar o tecido"/>
    <x v="6"/>
    <n v="40"/>
    <m/>
    <n v="0"/>
  </r>
  <r>
    <s v="10 - LATERAIS TRASEIRAS"/>
    <s v="PRÉ-MONTAGEM"/>
    <s v="instalação do friso, prestanas de acabamento e grampos "/>
    <x v="0"/>
    <n v="40"/>
    <m/>
    <n v="0"/>
  </r>
  <r>
    <s v="10 - LATERAIS TRASEIRAS"/>
    <m/>
    <m/>
    <x v="3"/>
    <m/>
    <m/>
    <m/>
  </r>
  <r>
    <s v="10 - LATERAIS TRASEIRAS"/>
    <m/>
    <m/>
    <x v="3"/>
    <m/>
    <m/>
    <m/>
  </r>
  <r>
    <s v="10 - LATERAIS TRASEIRAS"/>
    <m/>
    <m/>
    <x v="3"/>
    <m/>
    <m/>
    <m/>
  </r>
  <r>
    <s v="10 - LATERAIS TRASEIRAS"/>
    <m/>
    <m/>
    <x v="3"/>
    <m/>
    <m/>
    <m/>
  </r>
  <r>
    <s v="10 - LATERAIS TRASEIRAS"/>
    <m/>
    <m/>
    <x v="3"/>
    <m/>
    <m/>
    <m/>
  </r>
  <r>
    <s v="10 - LATERAIS TRASEIRAS"/>
    <m/>
    <m/>
    <x v="3"/>
    <m/>
    <m/>
    <m/>
  </r>
  <r>
    <s v="10 - LATERAIS TRASEIRAS"/>
    <m/>
    <m/>
    <x v="3"/>
    <m/>
    <m/>
    <m/>
  </r>
  <r>
    <s v="11 - OMBREIRA"/>
    <s v="PREPARAÇÃO"/>
    <s v="remoção do courvin para a preparação  "/>
    <x v="2"/>
    <n v="10"/>
    <m/>
    <n v="0"/>
  </r>
  <r>
    <s v="11 - OMBREIRA"/>
    <s v="PREPARAÇÃO"/>
    <s v="raspar / lixar"/>
    <x v="2"/>
    <n v="120"/>
    <m/>
    <n v="0"/>
  </r>
  <r>
    <s v="11 - OMBREIRA"/>
    <s v="PREPARAÇÃO"/>
    <s v="Limpar e inspecionar"/>
    <x v="2"/>
    <n v="10"/>
    <m/>
    <n v="0"/>
  </r>
  <r>
    <s v="11 - OMBREIRA"/>
    <s v="CORTE"/>
    <s v="Cortar corvin da ombreira"/>
    <x v="5"/>
    <n v="10"/>
    <m/>
    <n v="0"/>
  </r>
  <r>
    <s v="11 - OMBREIRA"/>
    <s v="COLAGEM"/>
    <s v="aplicação de cola p.u  no courvin e ombreiras "/>
    <x v="6"/>
    <n v="25"/>
    <m/>
    <n v="0"/>
  </r>
  <r>
    <s v="11 - OMBREIRA"/>
    <s v="COLAGEM"/>
    <s v="colar o  courvin "/>
    <x v="6"/>
    <n v="30"/>
    <m/>
    <n v="0"/>
  </r>
  <r>
    <s v="11 - OMBREIRA"/>
    <s v="FINALIZAÇÃO"/>
    <s v="Grampear as bordas do revestimento e dar o acabamento (parte superior e inferior)"/>
    <x v="7"/>
    <n v="90"/>
    <m/>
    <n v="0"/>
  </r>
  <r>
    <s v="11 - OMBREIRA"/>
    <m/>
    <m/>
    <x v="3"/>
    <m/>
    <m/>
    <m/>
  </r>
  <r>
    <s v="11 - OMBREIRA"/>
    <m/>
    <m/>
    <x v="3"/>
    <m/>
    <m/>
    <m/>
  </r>
  <r>
    <s v="11 - OMBREIRA"/>
    <m/>
    <m/>
    <x v="3"/>
    <m/>
    <m/>
    <m/>
  </r>
  <r>
    <s v="11 - OMBREIRA"/>
    <m/>
    <m/>
    <x v="3"/>
    <m/>
    <m/>
    <m/>
  </r>
  <r>
    <s v="11 - OMBREIRA"/>
    <m/>
    <m/>
    <x v="3"/>
    <m/>
    <m/>
    <m/>
  </r>
  <r>
    <s v="11 - OMBREIRA"/>
    <m/>
    <m/>
    <x v="3"/>
    <m/>
    <m/>
    <m/>
  </r>
  <r>
    <s v="11 - OMBREIRA"/>
    <m/>
    <m/>
    <x v="3"/>
    <m/>
    <m/>
    <m/>
  </r>
  <r>
    <s v="11 - OMBREIRA"/>
    <m/>
    <m/>
    <x v="3"/>
    <m/>
    <m/>
    <m/>
  </r>
  <r>
    <s v="12 - FORROS DE PORTAS"/>
    <s v="PREPARAÇÃO"/>
    <s v="cortar EVA para duratex "/>
    <x v="2"/>
    <n v="20"/>
    <m/>
    <n v="0"/>
  </r>
  <r>
    <s v="12 - FORROS DE PORTAS"/>
    <s v="COLAGEM"/>
    <s v="aplicação de cola contato no duratex e EVA e colar"/>
    <x v="6"/>
    <n v="10"/>
    <m/>
    <n v="0"/>
  </r>
  <r>
    <s v="12 - FORROS DE PORTAS"/>
    <s v="PREPARAÇÃO"/>
    <s v="Queimar o EVA no padrão das laterais, lixae as bordas  (para criar vincos) "/>
    <x v="2"/>
    <n v="40"/>
    <m/>
    <n v="0"/>
  </r>
  <r>
    <s v="12 - FORROS DE PORTAS"/>
    <s v="CORTE"/>
    <s v="corte do tecido, courvin, cristal, palmilha, papel pardo e carpete"/>
    <x v="5"/>
    <n v="40"/>
    <m/>
    <n v="0"/>
  </r>
  <r>
    <s v="12 - FORROS DE PORTAS"/>
    <s v="COLAGEM"/>
    <s v="aplicação de cola P.U no courvin (na espátula)"/>
    <x v="6"/>
    <n v="10"/>
    <m/>
    <n v="0"/>
  </r>
  <r>
    <s v="12 - FORROS DE PORTAS"/>
    <s v="COLAGEM"/>
    <s v="aplicação de cola contato no tecido e no EVA"/>
    <x v="6"/>
    <n v="5"/>
    <m/>
    <n v="0"/>
  </r>
  <r>
    <s v="12 - FORROS DE PORTAS"/>
    <s v="COLAGEM"/>
    <s v="colagem do tecido no EVA (parte superior da peça)"/>
    <x v="6"/>
    <n v="30"/>
    <m/>
    <n v="0"/>
  </r>
  <r>
    <s v="12 - FORROS DE PORTAS"/>
    <s v="MODELAGEM"/>
    <s v="setup da máquina de costura eletrônica"/>
    <x v="7"/>
    <n v="70"/>
    <m/>
    <n v="0"/>
  </r>
  <r>
    <s v="12 - FORROS DE PORTAS"/>
    <s v="MODELAGEM"/>
    <s v="prensagem e perfilamento do carpete"/>
    <x v="7"/>
    <n v="50"/>
    <m/>
    <n v="0"/>
  </r>
  <r>
    <s v="12 - FORROS DE PORTAS"/>
    <s v="COLAGEM"/>
    <s v="aplicação de cola na parte inferior da lateral (área do carpete) e no carpete"/>
    <x v="6"/>
    <n v="10"/>
    <m/>
    <n v="0"/>
  </r>
  <r>
    <s v="12 - FORROS DE PORTAS"/>
    <s v="COLAGEM"/>
    <s v="colar o carpete na parte inferior"/>
    <x v="6"/>
    <n v="20"/>
    <m/>
    <n v="0"/>
  </r>
  <r>
    <s v="12 - FORROS DE PORTAS"/>
    <s v="FINALIZAÇÃO"/>
    <s v="grampear as bordas do revestimento e dar o acabamento (parte superior e inferior)"/>
    <x v="7"/>
    <n v="20"/>
    <m/>
    <n v="0"/>
  </r>
  <r>
    <s v="12 - FORROS DE PORTAS"/>
    <s v="COLAGEM"/>
    <s v="colagem do friso de acabamento"/>
    <x v="6"/>
    <n v="20"/>
    <m/>
    <n v="0"/>
  </r>
  <r>
    <s v="12 - FORROS DE PORTAS"/>
    <s v="PRÉ-MONTAGEM"/>
    <s v="montar peças de acabamento porta-treco"/>
    <x v="0"/>
    <n v="20"/>
    <m/>
    <n v="0"/>
  </r>
  <r>
    <s v="12 - FORROS DE PORTAS"/>
    <m/>
    <m/>
    <x v="3"/>
    <m/>
    <m/>
    <m/>
  </r>
  <r>
    <s v="12 - FORROS DE PORTAS"/>
    <m/>
    <m/>
    <x v="3"/>
    <m/>
    <m/>
    <m/>
  </r>
  <r>
    <s v="12 - FORROS DE PORTAS"/>
    <m/>
    <m/>
    <x v="3"/>
    <m/>
    <m/>
    <m/>
  </r>
  <r>
    <s v="12 - FORROS DE PORTAS"/>
    <m/>
    <m/>
    <x v="3"/>
    <m/>
    <m/>
    <m/>
  </r>
  <r>
    <s v="12 - FORROS DE PORTAS"/>
    <m/>
    <m/>
    <x v="3"/>
    <m/>
    <m/>
    <m/>
  </r>
  <r>
    <s v="12 - FORROS DE PORTAS"/>
    <m/>
    <m/>
    <x v="3"/>
    <m/>
    <m/>
    <m/>
  </r>
  <r>
    <s v="12 - FORROS DE PORTAS"/>
    <m/>
    <m/>
    <x v="3"/>
    <m/>
    <m/>
    <m/>
  </r>
  <r>
    <s v="13 - ACABAMENTOS"/>
    <s v="MONTAGEM"/>
    <s v="Instalação Quebra Sol  BRV"/>
    <x v="7"/>
    <n v="15"/>
    <m/>
    <n v="0"/>
  </r>
  <r>
    <s v="13 - ACABAMENTOS"/>
    <s v="MONTAGEM"/>
    <s v="Quebra Sol"/>
    <x v="7"/>
    <m/>
    <m/>
    <m/>
  </r>
  <r>
    <s v="13 - ACABAMENTOS"/>
    <s v="MONTAGEM"/>
    <s v="Coifa Cambio"/>
    <x v="7"/>
    <m/>
    <m/>
    <m/>
  </r>
  <r>
    <s v="13 - ACABAMENTOS"/>
    <s v="MONTAGEM"/>
    <s v="Coifa freio de mão"/>
    <x v="7"/>
    <m/>
    <m/>
    <m/>
  </r>
  <r>
    <s v="13 - ACABAMENTOS"/>
    <s v="MONTAGEM"/>
    <s v="Coifa"/>
    <x v="7"/>
    <m/>
    <m/>
    <m/>
  </r>
  <r>
    <s v="13 - ACABAMENTOS"/>
    <m/>
    <m/>
    <x v="3"/>
    <m/>
    <m/>
    <m/>
  </r>
  <r>
    <s v="13 - ACABAMENTOS"/>
    <m/>
    <m/>
    <x v="3"/>
    <m/>
    <m/>
    <m/>
  </r>
  <r>
    <s v="13 - ACABAMENTOS"/>
    <m/>
    <m/>
    <x v="3"/>
    <m/>
    <m/>
    <m/>
  </r>
  <r>
    <s v="13 - ACABAMENTOS"/>
    <m/>
    <m/>
    <x v="3"/>
    <m/>
    <m/>
    <m/>
  </r>
  <r>
    <s v="13 - ACABAMENTOS"/>
    <m/>
    <m/>
    <x v="3"/>
    <m/>
    <m/>
    <m/>
  </r>
  <r>
    <s v="13 - ACABAMENTOS"/>
    <m/>
    <m/>
    <x v="3"/>
    <m/>
    <m/>
    <m/>
  </r>
  <r>
    <s v="14 - BANCOS TRASEIROS"/>
    <s v="PREPARAÇÃO"/>
    <s v="remoção das capas "/>
    <x v="2"/>
    <n v="10"/>
    <m/>
    <n v="0"/>
  </r>
  <r>
    <s v="14 - BANCOS TRASEIROS"/>
    <s v="PREPARAÇÃO"/>
    <s v="revisão da estrutura "/>
    <x v="2"/>
    <n v="5"/>
    <m/>
    <n v="0"/>
  </r>
  <r>
    <s v="14 - BANCOS TRASEIROS"/>
    <s v="PREPARAÇÃO"/>
    <s v="reparo na estrutura solda "/>
    <x v="2"/>
    <n v="15"/>
    <m/>
    <n v="0"/>
  </r>
  <r>
    <s v="14 - BANCOS TRASEIROS"/>
    <s v="SERRALHERIA"/>
    <s v="reparo na estrutura "/>
    <x v="1"/>
    <n v="5"/>
    <m/>
    <n v="0"/>
  </r>
  <r>
    <s v="14 - BANCOS TRASEIROS"/>
    <s v="ESPUMA"/>
    <s v="PINTURA ELETROSTATICA"/>
    <x v="0"/>
    <n v="60"/>
    <m/>
    <n v="0"/>
  </r>
  <r>
    <s v="14 - BANCOS TRASEIROS"/>
    <s v="CORTE"/>
    <s v="corte do tecido com o molde"/>
    <x v="5"/>
    <n v="60"/>
    <m/>
    <n v="0"/>
  </r>
  <r>
    <s v="14 - BANCOS TRASEIROS"/>
    <s v="COSTURA"/>
    <s v="costurar peças cortadas"/>
    <x v="8"/>
    <n v="60"/>
    <m/>
    <n v="0"/>
  </r>
  <r>
    <s v="14 - BANCOS TRASEIROS"/>
    <s v="ESPUMA"/>
    <s v="Colagemm das Espumas nas estruturas"/>
    <x v="0"/>
    <n v="60"/>
    <m/>
    <n v="0"/>
  </r>
  <r>
    <s v="14 - BANCOS TRASEIROS"/>
    <s v="COLAGEM"/>
    <s v="Colar tecido na espuma parte inferior assento"/>
    <x v="6"/>
    <n v="10"/>
    <m/>
    <n v="0"/>
  </r>
  <r>
    <s v="14 - BANCOS TRASEIROS"/>
    <s v="PRÉ-MONTAGEM"/>
    <s v="Montagem do banco traseiro assento (capa pronta)"/>
    <x v="0"/>
    <n v="60"/>
    <m/>
    <n v="0"/>
  </r>
  <r>
    <s v="14 - BANCOS TRASEIROS"/>
    <s v="PRÉ-MONTAGEM"/>
    <s v="Montagem do banco traseiro encosto (capa pronta)"/>
    <x v="0"/>
    <n v="60"/>
    <m/>
    <n v="0"/>
  </r>
  <r>
    <s v="14 - BANCOS TRASEIROS"/>
    <s v="FINALIZAÇÃO"/>
    <s v="Finalizar com Steamer"/>
    <x v="7"/>
    <n v="30"/>
    <m/>
    <n v="0"/>
  </r>
  <r>
    <s v="14 - BANCOS TRASEIROS"/>
    <m/>
    <m/>
    <x v="3"/>
    <m/>
    <m/>
    <m/>
  </r>
  <r>
    <s v="14 - BANCOS TRASEIROS"/>
    <m/>
    <m/>
    <x v="3"/>
    <m/>
    <m/>
    <m/>
  </r>
  <r>
    <s v="14 - BANCOS TRASEIROS"/>
    <m/>
    <m/>
    <x v="3"/>
    <m/>
    <m/>
    <m/>
  </r>
  <r>
    <s v="14 - BANCOS TRASEIROS"/>
    <m/>
    <m/>
    <x v="3"/>
    <m/>
    <m/>
    <m/>
  </r>
  <r>
    <s v="14 - BANCOS TRASEIROS"/>
    <m/>
    <m/>
    <x v="3"/>
    <m/>
    <m/>
    <m/>
  </r>
  <r>
    <s v="14 - BANCOS TRASEIROS"/>
    <m/>
    <m/>
    <x v="3"/>
    <m/>
    <m/>
    <m/>
  </r>
  <r>
    <s v="14 - BANCOS TRASEIROS"/>
    <m/>
    <m/>
    <x v="3"/>
    <m/>
    <m/>
    <m/>
  </r>
  <r>
    <s v="14 - BANCOS TRASEIROS"/>
    <m/>
    <m/>
    <x v="3"/>
    <m/>
    <m/>
    <m/>
  </r>
  <r>
    <s v="15 - BANCOS DIANTEIROS"/>
    <s v="PREPARAÇÃO"/>
    <s v="remoção das capas "/>
    <x v="4"/>
    <n v="50"/>
    <m/>
    <n v="0"/>
  </r>
  <r>
    <s v="15 - BANCOS DIANTEIROS"/>
    <s v="PREPARAÇÃO"/>
    <s v="revisão da estrutura "/>
    <x v="4"/>
    <n v="30"/>
    <m/>
    <n v="0"/>
  </r>
  <r>
    <s v="15 - BANCOS DIANTEIROS"/>
    <s v="PINTURA"/>
    <s v="reparo na estrutura com pintura"/>
    <x v="9"/>
    <n v="30"/>
    <m/>
    <n v="0"/>
  </r>
  <r>
    <s v="15 - BANCOS DIANTEIROS"/>
    <s v="PINTURA"/>
    <s v="Enviar peças metálicas desmontadas para pintura em Fornecedor Externo"/>
    <x v="9"/>
    <n v="30"/>
    <m/>
    <n v="0"/>
  </r>
  <r>
    <s v="15 - BANCOS DIANTEIROS"/>
    <s v="PREPARAÇÃO"/>
    <s v="Ajuste cabo de aço"/>
    <x v="4"/>
    <n v="30"/>
    <m/>
    <n v="0"/>
  </r>
  <r>
    <s v="15 - BANCOS DIANTEIROS"/>
    <s v="PREPARAÇÃO"/>
    <s v="Destravar engrenagens após pintura"/>
    <x v="4"/>
    <n v="45"/>
    <m/>
    <n v="0"/>
  </r>
  <r>
    <s v="15 - BANCOS DIANTEIROS"/>
    <s v="ESPUMA"/>
    <s v="Reparo de espuma"/>
    <x v="0"/>
    <n v="60"/>
    <m/>
    <n v="0"/>
  </r>
  <r>
    <s v="15 - BANCOS DIANTEIROS"/>
    <s v="ESPUMA"/>
    <s v="Aplicar espuma (assento e encosto)"/>
    <x v="0"/>
    <n v="60"/>
    <m/>
    <n v="0"/>
  </r>
  <r>
    <s v="15 - BANCOS DIANTEIROS"/>
    <s v="CORTE"/>
    <s v="corte do tecido com o molde Encosto/assento"/>
    <x v="5"/>
    <n v="60"/>
    <m/>
    <n v="0"/>
  </r>
  <r>
    <s v="15 - BANCOS DIANTEIROS"/>
    <s v="CORTE"/>
    <s v="corte do tecido da cabeceira"/>
    <x v="5"/>
    <n v="30"/>
    <m/>
    <n v="0"/>
  </r>
  <r>
    <s v="15 - BANCOS DIANTEIROS"/>
    <s v="COSTURA"/>
    <s v="costurar peças cortadas Encosto/Assento"/>
    <x v="8"/>
    <n v="240"/>
    <m/>
    <n v="0"/>
  </r>
  <r>
    <s v="15 - BANCOS DIANTEIROS"/>
    <s v="COSTURA"/>
    <s v="Costurar cabeceira"/>
    <x v="8"/>
    <n v="30"/>
    <m/>
    <n v="0"/>
  </r>
  <r>
    <s v="15 - BANCOS DIANTEIROS"/>
    <s v="PRÉ-MONTAGEM"/>
    <s v="Montagem do encosto"/>
    <x v="0"/>
    <n v="40"/>
    <m/>
    <n v="0"/>
  </r>
  <r>
    <s v="15 - BANCOS DIANTEIROS"/>
    <s v="PRÉ-MONTAGEM"/>
    <s v="Montagem do assento"/>
    <x v="0"/>
    <n v="60"/>
    <m/>
    <n v="0"/>
  </r>
  <r>
    <s v="15 - BANCOS DIANTEIROS"/>
    <s v="PRÉ-MONTAGEM"/>
    <s v="Montagem completa do Banco (base, chapa RECARO, acabamento laterais)"/>
    <x v="0"/>
    <n v="90"/>
    <m/>
    <n v="0"/>
  </r>
  <r>
    <s v="15 - BANCOS DIANTEIROS"/>
    <s v="PRÉ-MONTAGEM"/>
    <s v="Montagem do cabeceira"/>
    <x v="0"/>
    <n v="90"/>
    <m/>
    <n v="0"/>
  </r>
  <r>
    <s v="15 - BANCOS DIANTEIROS"/>
    <m/>
    <m/>
    <x v="3"/>
    <m/>
    <m/>
    <m/>
  </r>
  <r>
    <s v="15 - BANCOS DIANTEIROS"/>
    <m/>
    <m/>
    <x v="3"/>
    <m/>
    <m/>
    <m/>
  </r>
  <r>
    <s v="15 - BANCOS DIANTEIROS"/>
    <m/>
    <m/>
    <x v="3"/>
    <m/>
    <m/>
    <m/>
  </r>
  <r>
    <s v="15 - BANCOS DIANTEIROS"/>
    <m/>
    <m/>
    <x v="3"/>
    <m/>
    <m/>
    <m/>
  </r>
  <r>
    <s v="15 - BANCOS DIANTEIROS"/>
    <m/>
    <m/>
    <x v="3"/>
    <m/>
    <m/>
    <m/>
  </r>
  <r>
    <s v="15 - BANCOS DIANTEIROS"/>
    <m/>
    <m/>
    <x v="3"/>
    <m/>
    <m/>
    <m/>
  </r>
  <r>
    <s v="15 - BANCOS DIANTEIROS"/>
    <m/>
    <m/>
    <x v="3"/>
    <m/>
    <m/>
    <m/>
  </r>
  <r>
    <s v="15 - BANCOS DIANTEIROS"/>
    <m/>
    <m/>
    <x v="3"/>
    <m/>
    <m/>
    <m/>
  </r>
  <r>
    <s v="16 - VOLANTE"/>
    <s v="PREPARAÇÃO"/>
    <s v="Remover revestimento"/>
    <x v="2"/>
    <n v="10"/>
    <m/>
    <n v="0"/>
  </r>
  <r>
    <s v="16 - VOLANTE"/>
    <s v="PREPARAÇÃO"/>
    <s v="Reparo volante (se necessário)"/>
    <x v="2"/>
    <n v="0"/>
    <m/>
    <m/>
  </r>
  <r>
    <s v="16 - VOLANTE"/>
    <s v="PREPARAÇÃO"/>
    <s v="Limpar"/>
    <x v="2"/>
    <n v="10"/>
    <m/>
    <n v="0"/>
  </r>
  <r>
    <s v="16 - VOLANTE"/>
    <s v="CORTE"/>
    <s v="Corte couro"/>
    <x v="5"/>
    <n v="40"/>
    <m/>
    <n v="0"/>
  </r>
  <r>
    <s v="16 - VOLANTE"/>
    <s v="CORTE"/>
    <s v="Perfilar couro para dar acabamento(manualmente)"/>
    <x v="5"/>
    <n v="70"/>
    <m/>
    <n v="0"/>
  </r>
  <r>
    <s v="16 - VOLANTE"/>
    <s v="APLICAÇÃO COLA"/>
    <s v="Aplicação cola e ajuste"/>
    <x v="4"/>
    <n v="30"/>
    <m/>
    <n v="0"/>
  </r>
  <r>
    <s v="16 - VOLANTE"/>
    <s v="COSTURA"/>
    <s v="costura da borda  e Fechamento do volante"/>
    <x v="8"/>
    <n v="90"/>
    <m/>
    <n v="0"/>
  </r>
  <r>
    <s v="16 - VOLANTE"/>
    <m/>
    <m/>
    <x v="3"/>
    <m/>
    <m/>
    <m/>
  </r>
  <r>
    <s v="16 - VOLANTE"/>
    <m/>
    <m/>
    <x v="3"/>
    <m/>
    <m/>
    <m/>
  </r>
  <r>
    <s v="16 - VOLANTE"/>
    <m/>
    <m/>
    <x v="3"/>
    <m/>
    <m/>
    <m/>
  </r>
  <r>
    <s v="16 - VOLANTE"/>
    <m/>
    <m/>
    <x v="3"/>
    <m/>
    <m/>
    <m/>
  </r>
  <r>
    <s v="16 - VOLANTE"/>
    <m/>
    <m/>
    <x v="3"/>
    <m/>
    <m/>
    <m/>
  </r>
  <r>
    <s v="16 - VOLANTE"/>
    <m/>
    <m/>
    <x v="3"/>
    <m/>
    <m/>
    <m/>
  </r>
  <r>
    <s v="16 - VOLANTE"/>
    <m/>
    <m/>
    <x v="3"/>
    <m/>
    <m/>
    <m/>
  </r>
  <r>
    <s v="17 - TAMPÃO"/>
    <s v="PREPARAÇÃO"/>
    <s v="Remover carpe antigo do tampão"/>
    <x v="2"/>
    <n v="0"/>
    <m/>
    <m/>
  </r>
  <r>
    <s v="17 - TAMPÃO"/>
    <s v="CORTE"/>
    <s v="Cortar Capete pelas medidas  infomadas padrão"/>
    <x v="5"/>
    <n v="15"/>
    <m/>
    <n v="0"/>
  </r>
  <r>
    <s v="17 - TAMPÃO"/>
    <s v="APLICAÇÃO COLA"/>
    <s v="Aplicar cola de contato no tampao e no carpete"/>
    <x v="4"/>
    <n v="15"/>
    <m/>
    <n v="0"/>
  </r>
  <r>
    <s v="17 - TAMPÃO"/>
    <s v="COLAGEM"/>
    <s v="Iniciar a colagem do carpete no tampão"/>
    <x v="6"/>
    <n v="60"/>
    <m/>
    <n v="0"/>
  </r>
  <r>
    <s v="17 - TAMPÃO"/>
    <s v="FINALIZAÇÃO"/>
    <s v="Após a colagem do carpete, fazer o recorte da sobras"/>
    <x v="7"/>
    <n v="10"/>
    <m/>
    <n v="0"/>
  </r>
  <r>
    <s v="17 - TAMPÃO"/>
    <s v="MONTAGEM"/>
    <s v="Colocar cordinha e batente"/>
    <x v="7"/>
    <n v="10"/>
    <m/>
    <n v="0"/>
  </r>
  <r>
    <s v="17 - TAMPÃO"/>
    <s v="MONTAGEM"/>
    <s v="Instalação do tampão no carro"/>
    <x v="7"/>
    <n v="10"/>
    <m/>
    <n v="0"/>
  </r>
  <r>
    <s v="17 - TAMPÃO"/>
    <m/>
    <m/>
    <x v="3"/>
    <m/>
    <m/>
    <m/>
  </r>
  <r>
    <s v="17 - TAMPÃO"/>
    <m/>
    <m/>
    <x v="3"/>
    <m/>
    <m/>
    <m/>
  </r>
  <r>
    <s v="17 - TAMPÃO"/>
    <m/>
    <m/>
    <x v="3"/>
    <m/>
    <m/>
    <m/>
  </r>
  <r>
    <s v="17 - TAMPÃO"/>
    <m/>
    <m/>
    <x v="3"/>
    <m/>
    <m/>
    <m/>
  </r>
  <r>
    <s v="17 - TAMPÃO"/>
    <m/>
    <m/>
    <x v="3"/>
    <m/>
    <m/>
    <m/>
  </r>
  <r>
    <s v="17 - TAMPÃO"/>
    <m/>
    <m/>
    <x v="3"/>
    <m/>
    <m/>
    <m/>
  </r>
  <r>
    <s v="17 - TAMPÃO"/>
    <m/>
    <m/>
    <x v="3"/>
    <m/>
    <m/>
    <m/>
  </r>
  <r>
    <s v="18 - MONTAGEM VEÍCULO"/>
    <s v="MONTAGEM"/>
    <s v="Montar capa estepe"/>
    <x v="7"/>
    <n v="20"/>
    <m/>
    <n v="0"/>
  </r>
  <r>
    <s v="18 - MONTAGEM VEÍCULO"/>
    <s v="MONTAGEM"/>
    <s v="Pintar tubo combustivel"/>
    <x v="7"/>
    <n v="0"/>
    <m/>
    <m/>
  </r>
  <r>
    <s v="18 - MONTAGEM VEÍCULO"/>
    <s v="MONTAGEM"/>
    <s v="Montar laterais traseiras"/>
    <x v="7"/>
    <n v="60"/>
    <m/>
    <n v="0"/>
  </r>
  <r>
    <s v="18 - MONTAGEM VEÍCULO"/>
    <s v="MONTAGEM"/>
    <s v="Instalar tampa porta malas"/>
    <x v="7"/>
    <n v="20"/>
    <m/>
    <n v="0"/>
  </r>
  <r>
    <s v="18 - MONTAGEM VEÍCULO"/>
    <s v="MONTAGEM"/>
    <s v="Montar cristal nas portas dianteiras"/>
    <x v="7"/>
    <n v="20"/>
    <m/>
    <n v="0"/>
  </r>
  <r>
    <s v="18 - MONTAGEM VEÍCULO"/>
    <s v="MONTAGEM"/>
    <s v="Montar Laterais dianteiras"/>
    <x v="7"/>
    <n v="60"/>
    <m/>
    <n v="0"/>
  </r>
  <r>
    <s v="18 - MONTAGEM VEÍCULO"/>
    <s v="MONTAGEM"/>
    <s v="Montar Bancos traseiros"/>
    <x v="7"/>
    <n v="30"/>
    <m/>
    <n v="0"/>
  </r>
  <r>
    <s v="18 - MONTAGEM VEÍCULO"/>
    <s v="MONTAGEM"/>
    <s v="Montar bancos dianteiros"/>
    <x v="7"/>
    <n v="60"/>
    <m/>
    <n v="0"/>
  </r>
  <r>
    <s v="18 - MONTAGEM VEÍCULO"/>
    <s v="MONTAGEM"/>
    <s v="Montagem do Volante"/>
    <x v="7"/>
    <n v="5"/>
    <m/>
    <n v="0"/>
  </r>
  <r>
    <s v="18 - MONTAGEM VEÍCULO"/>
    <s v="MONTAGEM"/>
    <s v="Montagem da Ombrera e Pestana"/>
    <x v="7"/>
    <n v="15"/>
    <m/>
    <n v="0"/>
  </r>
  <r>
    <s v="18 - MONTAGEM VEÍCULO"/>
    <m/>
    <m/>
    <x v="3"/>
    <m/>
    <m/>
    <m/>
  </r>
  <r>
    <s v="18 - MONTAGEM VEÍCULO"/>
    <m/>
    <m/>
    <x v="3"/>
    <m/>
    <m/>
    <m/>
  </r>
  <r>
    <s v="18 - MONTAGEM VEÍCULO"/>
    <m/>
    <m/>
    <x v="3"/>
    <m/>
    <m/>
    <m/>
  </r>
  <r>
    <s v="18 - MONTAGEM VEÍCULO"/>
    <m/>
    <m/>
    <x v="3"/>
    <m/>
    <m/>
    <m/>
  </r>
  <r>
    <s v="18 - MONTAGEM VEÍCULO"/>
    <m/>
    <m/>
    <x v="3"/>
    <m/>
    <m/>
    <m/>
  </r>
  <r>
    <s v="18 - MONTAGEM VEÍCULO"/>
    <m/>
    <m/>
    <x v="3"/>
    <m/>
    <m/>
    <m/>
  </r>
  <r>
    <s v="18 - MONTAGEM VEÍCULO"/>
    <m/>
    <m/>
    <x v="3"/>
    <m/>
    <m/>
    <m/>
  </r>
  <r>
    <s v="19 - LIMPEZA FINAL"/>
    <s v="LIMPEZA"/>
    <s v="Limpeza dos vidros "/>
    <x v="2"/>
    <n v="5"/>
    <m/>
    <n v="0"/>
  </r>
  <r>
    <s v="19 - LIMPEZA FINAL"/>
    <s v="LIMPEZA"/>
    <s v="aspiração do porta-malas"/>
    <x v="2"/>
    <n v="5"/>
    <m/>
    <n v="0"/>
  </r>
  <r>
    <s v="19 - LIMPEZA FINAL"/>
    <s v="LIMPEZA"/>
    <s v="aspiração do tampão"/>
    <x v="2"/>
    <n v="5"/>
    <m/>
    <n v="0"/>
  </r>
  <r>
    <s v="19 - LIMPEZA FINAL"/>
    <s v="LIMPEZA"/>
    <s v="limpeza do acabamento da tampa"/>
    <x v="2"/>
    <n v="5"/>
    <m/>
    <n v="0"/>
  </r>
  <r>
    <s v="19 - LIMPEZA FINAL"/>
    <s v="LIMPEZA"/>
    <s v="aspiração dos bancos"/>
    <x v="2"/>
    <n v="10"/>
    <m/>
    <n v="0"/>
  </r>
  <r>
    <s v="19 - LIMPEZA FINAL"/>
    <s v="LIMPEZA"/>
    <s v="aspiração do assoalho"/>
    <x v="2"/>
    <n v="10"/>
    <m/>
    <n v="0"/>
  </r>
  <r>
    <s v="19 - LIMPEZA FINAL"/>
    <s v="LIMPEZA"/>
    <s v="limpeza do painel"/>
    <x v="2"/>
    <n v="5"/>
    <m/>
    <n v="0"/>
  </r>
  <r>
    <s v="19 - LIMPEZA FINAL"/>
    <s v="LIMPEZA"/>
    <s v="limpeza do console"/>
    <x v="2"/>
    <n v="5"/>
    <m/>
    <n v="0"/>
  </r>
  <r>
    <s v="19 - LIMPEZA FINAL"/>
    <s v="LIMPEZA"/>
    <s v="limpeza das pedaleiras "/>
    <x v="2"/>
    <n v="5"/>
    <m/>
    <n v="0"/>
  </r>
  <r>
    <s v="19 - LIMPEZA FINAL"/>
    <s v="LIMPEZA"/>
    <s v="limpreza dos forros de portas (junto das ombreiras )"/>
    <x v="2"/>
    <n v="5"/>
    <m/>
    <n v="0"/>
  </r>
  <r>
    <s v="19 - LIMPEZA FINAL"/>
    <m/>
    <m/>
    <x v="3"/>
    <m/>
    <m/>
    <m/>
  </r>
  <r>
    <s v="19 - LIMPEZA FINAL"/>
    <m/>
    <m/>
    <x v="3"/>
    <m/>
    <m/>
    <m/>
  </r>
  <r>
    <s v="19 - LIMPEZA FINAL"/>
    <m/>
    <m/>
    <x v="3"/>
    <m/>
    <m/>
    <m/>
  </r>
  <r>
    <s v="19 - LIMPEZA FINAL"/>
    <m/>
    <m/>
    <x v="3"/>
    <m/>
    <m/>
    <m/>
  </r>
  <r>
    <s v="19 - LIMPEZA FINAL"/>
    <m/>
    <m/>
    <x v="3"/>
    <m/>
    <m/>
    <m/>
  </r>
  <r>
    <s v="20 - INPEÇÃO DE QUALIDADE"/>
    <s v="QUALIDADE"/>
    <s v="Auditoria Fim de OS"/>
    <x v="10"/>
    <n v="15"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DESMONTAGEM"/>
    <s v="Verificar se não tem nenhuma peça quebrada ou faltante, riscos externos e internos (Checklist durante desmontagem (Foto/Filmagem)"/>
    <x v="0"/>
    <n v="15"/>
    <n v="0.25"/>
  </r>
  <r>
    <x v="0"/>
    <s v="DESMONTAGEM"/>
    <s v="Retirada do volante (se necessário)"/>
    <x v="0"/>
    <n v="20"/>
    <n v="0.33333333333333331"/>
  </r>
  <r>
    <x v="0"/>
    <s v="DESMONTAGEM"/>
    <s v="Retirar bancos D/T"/>
    <x v="0"/>
    <n v="10"/>
    <n v="0.16666666666666666"/>
  </r>
  <r>
    <x v="0"/>
    <s v="DESMONTAGEM"/>
    <s v="Retirar Laterais D/T + Ombreiras"/>
    <x v="1"/>
    <n v="15"/>
    <n v="0.25"/>
  </r>
  <r>
    <x v="0"/>
    <s v="DESMONTAGEM"/>
    <s v="Retirar console + carpete do assoalho "/>
    <x v="2"/>
    <n v="40"/>
    <n v="0.66666666666666663"/>
  </r>
  <r>
    <x v="0"/>
    <s v="DESMONTAGEM"/>
    <s v="Retirada da lateral do porta-malas "/>
    <x v="2"/>
    <n v="15"/>
    <n v="0.25"/>
  </r>
  <r>
    <x v="0"/>
    <s v="DESMONTAGEM"/>
    <s v="Retirada do carpete da caixa de rodas +chão do porta-malas e prateleiras do tampão."/>
    <x v="2"/>
    <n v="30"/>
    <n v="0.5"/>
  </r>
  <r>
    <x v="0"/>
    <s v="DESMONTAGEM"/>
    <s v="Retirada do teto + acessórios  e colunas. "/>
    <x v="2"/>
    <n v="60"/>
    <n v="1"/>
  </r>
  <r>
    <x v="0"/>
    <n v="0"/>
    <n v="0"/>
    <x v="3"/>
    <n v="0"/>
    <n v="0"/>
  </r>
  <r>
    <x v="0"/>
    <n v="0"/>
    <n v="0"/>
    <x v="3"/>
    <n v="0"/>
    <n v="0"/>
  </r>
  <r>
    <x v="0"/>
    <n v="0"/>
    <n v="0"/>
    <x v="3"/>
    <n v="0"/>
    <n v="0"/>
  </r>
  <r>
    <x v="0"/>
    <n v="0"/>
    <n v="0"/>
    <x v="3"/>
    <n v="0"/>
    <n v="0"/>
  </r>
  <r>
    <x v="0"/>
    <n v="0"/>
    <n v="0"/>
    <x v="3"/>
    <n v="0"/>
    <n v="0"/>
  </r>
  <r>
    <x v="0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2"/>
    <s v="PREPARAÇÃO"/>
    <s v="Aspiração detalhada "/>
    <x v="5"/>
    <n v="25"/>
    <n v="0.41666666666666669"/>
  </r>
  <r>
    <x v="2"/>
    <n v="0"/>
    <n v="0"/>
    <x v="3"/>
    <n v="0"/>
    <n v="0"/>
  </r>
  <r>
    <x v="2"/>
    <n v="0"/>
    <n v="0"/>
    <x v="3"/>
    <n v="0"/>
    <n v="0"/>
  </r>
  <r>
    <x v="2"/>
    <n v="0"/>
    <n v="0"/>
    <x v="3"/>
    <n v="0"/>
    <n v="0"/>
  </r>
  <r>
    <x v="2"/>
    <n v="0"/>
    <n v="0"/>
    <x v="3"/>
    <n v="0"/>
    <n v="0"/>
  </r>
  <r>
    <x v="2"/>
    <n v="0"/>
    <n v="0"/>
    <x v="3"/>
    <n v="0"/>
    <n v="0"/>
  </r>
  <r>
    <x v="2"/>
    <n v="0"/>
    <n v="0"/>
    <x v="3"/>
    <n v="0"/>
    <n v="0"/>
  </r>
  <r>
    <x v="2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3"/>
    <s v="CORTE"/>
    <s v="Cortar Feltro seguindo molde assoalho "/>
    <x v="6"/>
    <n v="45"/>
    <n v="0.75"/>
  </r>
  <r>
    <x v="3"/>
    <s v="APLICAÇÃO COLA"/>
    <s v="Aplicar cola  no feltro"/>
    <x v="5"/>
    <n v="20"/>
    <n v="0.33333333333333331"/>
  </r>
  <r>
    <x v="3"/>
    <s v="PREPARAÇÃO"/>
    <s v="Colagem do feltro no assoalho"/>
    <x v="5"/>
    <n v="40"/>
    <n v="0.66666666666666663"/>
  </r>
  <r>
    <x v="3"/>
    <s v="PREPARAÇÃO"/>
    <s v="Aplicar feltro no teto"/>
    <x v="5"/>
    <n v="60"/>
    <n v="1"/>
  </r>
  <r>
    <x v="3"/>
    <s v="PREPARAÇÃO"/>
    <s v="Aplicar isolante no assoalho"/>
    <x v="5"/>
    <n v="90"/>
    <n v="1.5"/>
  </r>
  <r>
    <x v="3"/>
    <s v="PREPARAÇÃO"/>
    <s v="Aplicar isolante no teto"/>
    <x v="5"/>
    <n v="90"/>
    <n v="1.5"/>
  </r>
  <r>
    <x v="3"/>
    <n v="0"/>
    <n v="0"/>
    <x v="3"/>
    <n v="0"/>
    <n v="0"/>
  </r>
  <r>
    <x v="3"/>
    <n v="0"/>
    <n v="0"/>
    <x v="3"/>
    <n v="0"/>
    <n v="0"/>
  </r>
  <r>
    <x v="3"/>
    <n v="0"/>
    <n v="0"/>
    <x v="3"/>
    <n v="0"/>
    <n v="0"/>
  </r>
  <r>
    <x v="3"/>
    <n v="0"/>
    <n v="0"/>
    <x v="3"/>
    <n v="0"/>
    <n v="0"/>
  </r>
  <r>
    <x v="3"/>
    <n v="0"/>
    <n v="0"/>
    <x v="3"/>
    <n v="0"/>
    <n v="0"/>
  </r>
  <r>
    <x v="3"/>
    <n v="0"/>
    <n v="0"/>
    <x v="3"/>
    <n v="0"/>
    <n v="0"/>
  </r>
  <r>
    <x v="3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4"/>
    <s v="DESMONTAGEM"/>
    <s v="Desmontar teto e colunas"/>
    <x v="2"/>
    <n v="80"/>
    <n v="1.3333333333333333"/>
  </r>
  <r>
    <x v="4"/>
    <s v="PREPARAÇÃO"/>
    <s v="Remoção tecido antigo e limpeza"/>
    <x v="2"/>
    <n v="240"/>
    <n v="4"/>
  </r>
  <r>
    <x v="4"/>
    <s v="PREPARAÇÃO"/>
    <s v="Limpeza das colunas originais"/>
    <x v="2"/>
    <n v="60"/>
    <n v="1"/>
  </r>
  <r>
    <x v="4"/>
    <s v="CORTE"/>
    <s v="Corte do novo tecido"/>
    <x v="6"/>
    <n v="15"/>
    <n v="0.25"/>
  </r>
  <r>
    <x v="4"/>
    <s v="APLICAÇÃO COLA"/>
    <s v="Aplicação cola no teto e no tecido"/>
    <x v="2"/>
    <n v="30"/>
    <n v="0.5"/>
  </r>
  <r>
    <x v="4"/>
    <s v="COLAGEM"/>
    <s v="Revestir o teto com tecido novo"/>
    <x v="7"/>
    <n v="80"/>
    <n v="1.3333333333333333"/>
  </r>
  <r>
    <x v="4"/>
    <s v="MONTAGEM"/>
    <s v="Montar teto e colunas"/>
    <x v="8"/>
    <n v="80"/>
    <n v="1.3333333333333333"/>
  </r>
  <r>
    <x v="4"/>
    <n v="0"/>
    <n v="0"/>
    <x v="3"/>
    <n v="0"/>
    <n v="0"/>
  </r>
  <r>
    <x v="4"/>
    <n v="0"/>
    <n v="0"/>
    <x v="3"/>
    <n v="0"/>
    <n v="0"/>
  </r>
  <r>
    <x v="4"/>
    <n v="0"/>
    <n v="0"/>
    <x v="3"/>
    <n v="0"/>
    <n v="0"/>
  </r>
  <r>
    <x v="4"/>
    <n v="0"/>
    <n v="0"/>
    <x v="3"/>
    <n v="0"/>
    <n v="0"/>
  </r>
  <r>
    <x v="4"/>
    <n v="0"/>
    <n v="0"/>
    <x v="3"/>
    <n v="0"/>
    <n v="0"/>
  </r>
  <r>
    <x v="4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5"/>
    <s v="MONTAGEM"/>
    <s v="Instalaçao cinto de 3 pontos retrateis - novos BRV"/>
    <x v="8"/>
    <n v="10"/>
    <n v="0.16666666666666666"/>
  </r>
  <r>
    <x v="5"/>
    <s v="MONTAGEM"/>
    <s v="Instalação de cintos abdominais traseiros 3 pçs - BRV"/>
    <x v="8"/>
    <n v="15"/>
    <n v="0.25"/>
  </r>
  <r>
    <x v="5"/>
    <n v="0"/>
    <n v="0"/>
    <x v="3"/>
    <n v="0"/>
    <n v="0"/>
  </r>
  <r>
    <x v="5"/>
    <n v="0"/>
    <n v="0"/>
    <x v="3"/>
    <n v="0"/>
    <n v="0"/>
  </r>
  <r>
    <x v="5"/>
    <n v="0"/>
    <n v="0"/>
    <x v="3"/>
    <n v="0"/>
    <n v="0"/>
  </r>
  <r>
    <x v="5"/>
    <n v="0"/>
    <n v="0"/>
    <x v="3"/>
    <n v="0"/>
    <n v="0"/>
  </r>
  <r>
    <x v="5"/>
    <n v="0"/>
    <n v="0"/>
    <x v="3"/>
    <n v="0"/>
    <n v="0"/>
  </r>
  <r>
    <x v="5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6"/>
    <s v="PREPARAÇÃO"/>
    <n v="0"/>
    <x v="5"/>
    <n v="0"/>
    <n v="0"/>
  </r>
  <r>
    <x v="6"/>
    <s v="PREPARAÇÃO"/>
    <n v="0"/>
    <x v="5"/>
    <n v="0"/>
    <n v="0"/>
  </r>
  <r>
    <x v="6"/>
    <s v="COSTURA"/>
    <n v="0"/>
    <x v="9"/>
    <n v="0"/>
    <n v="0"/>
  </r>
  <r>
    <x v="6"/>
    <s v="MONTAGEM"/>
    <s v="Instalação Carpete no Assoalho "/>
    <x v="8"/>
    <n v="60"/>
    <n v="1"/>
  </r>
  <r>
    <x v="6"/>
    <n v="0"/>
    <n v="0"/>
    <x v="3"/>
    <n v="0"/>
    <n v="0"/>
  </r>
  <r>
    <x v="6"/>
    <n v="0"/>
    <n v="0"/>
    <x v="3"/>
    <n v="0"/>
    <n v="0"/>
  </r>
  <r>
    <x v="6"/>
    <n v="0"/>
    <n v="0"/>
    <x v="3"/>
    <n v="0"/>
    <n v="0"/>
  </r>
  <r>
    <x v="6"/>
    <n v="0"/>
    <n v="0"/>
    <x v="3"/>
    <n v="0"/>
    <n v="0"/>
  </r>
  <r>
    <x v="6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7"/>
    <s v="MONTAGEM"/>
    <s v="instalação de console + prolongador "/>
    <x v="8"/>
    <n v="10"/>
    <n v="0.16666666666666666"/>
  </r>
  <r>
    <x v="7"/>
    <s v="MONTAGEM"/>
    <s v="instalação do acabamento do freio de mão"/>
    <x v="8"/>
    <n v="0"/>
    <n v="0"/>
  </r>
  <r>
    <x v="7"/>
    <s v="MONTAGEM"/>
    <s v="instalação na manopla de cambio BRV"/>
    <x v="8"/>
    <n v="10"/>
    <n v="0.16666666666666666"/>
  </r>
  <r>
    <x v="7"/>
    <n v="0"/>
    <n v="0"/>
    <x v="3"/>
    <n v="0"/>
    <n v="0"/>
  </r>
  <r>
    <x v="7"/>
    <n v="0"/>
    <n v="0"/>
    <x v="3"/>
    <n v="0"/>
    <n v="0"/>
  </r>
  <r>
    <x v="7"/>
    <n v="0"/>
    <n v="0"/>
    <x v="3"/>
    <n v="0"/>
    <n v="0"/>
  </r>
  <r>
    <x v="7"/>
    <n v="0"/>
    <n v="0"/>
    <x v="3"/>
    <n v="0"/>
    <n v="0"/>
  </r>
  <r>
    <x v="7"/>
    <n v="0"/>
    <n v="0"/>
    <x v="3"/>
    <n v="0"/>
    <n v="0"/>
  </r>
  <r>
    <x v="7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8"/>
    <s v="CORTE"/>
    <s v="Cortar carpete do fundo do porta malas"/>
    <x v="6"/>
    <n v="20"/>
    <n v="0.33333333333333331"/>
  </r>
  <r>
    <x v="8"/>
    <s v="CORTE"/>
    <s v="Cortar carpete da caixa de roda"/>
    <x v="6"/>
    <n v="10"/>
    <n v="0.16666666666666666"/>
  </r>
  <r>
    <x v="8"/>
    <s v="COLAGEM"/>
    <s v="Aplicar cola para adesão no assoalho do porta malas e caixas de rodas e lateral do tampão"/>
    <x v="7"/>
    <n v="30"/>
    <n v="0.5"/>
  </r>
  <r>
    <x v="8"/>
    <s v="COLAGEM"/>
    <s v=" Colar  carpete da lateral do tampao"/>
    <x v="7"/>
    <n v="10"/>
    <n v="0.16666666666666666"/>
  </r>
  <r>
    <x v="8"/>
    <s v="MODELAGEM"/>
    <s v="Modelar carpete nas caixas de rodas"/>
    <x v="8"/>
    <n v="50"/>
    <n v="0.83333333333333337"/>
  </r>
  <r>
    <x v="8"/>
    <s v="MODELAGEM"/>
    <s v="Modelar carpete do fundo do porta malas"/>
    <x v="8"/>
    <n v="50"/>
    <n v="0.83333333333333337"/>
  </r>
  <r>
    <x v="8"/>
    <s v="PRÉ-MONTAGEM"/>
    <s v="Instalar kit de lateral do porta malas BRV"/>
    <x v="0"/>
    <n v="5"/>
    <n v="8.3333333333333329E-2"/>
  </r>
  <r>
    <x v="8"/>
    <s v="MODELAGEM"/>
    <s v="Instatalação da capa de macaco e triângulo (cor)"/>
    <x v="8"/>
    <n v="5"/>
    <n v="8.3333333333333329E-2"/>
  </r>
  <r>
    <x v="8"/>
    <s v="MODELAGEM"/>
    <s v="insalação da capa de estepe (cor?)"/>
    <x v="8"/>
    <n v="5"/>
    <n v="8.3333333333333329E-2"/>
  </r>
  <r>
    <x v="8"/>
    <n v="0"/>
    <n v="0"/>
    <x v="3"/>
    <n v="0"/>
    <n v="0"/>
  </r>
  <r>
    <x v="8"/>
    <n v="0"/>
    <n v="0"/>
    <x v="3"/>
    <n v="0"/>
    <n v="0"/>
  </r>
  <r>
    <x v="8"/>
    <n v="0"/>
    <n v="0"/>
    <x v="3"/>
    <n v="0"/>
    <n v="0"/>
  </r>
  <r>
    <x v="8"/>
    <n v="0"/>
    <n v="0"/>
    <x v="3"/>
    <n v="0"/>
    <n v="0"/>
  </r>
  <r>
    <x v="8"/>
    <n v="0"/>
    <n v="0"/>
    <x v="3"/>
    <n v="0"/>
    <n v="0"/>
  </r>
  <r>
    <x v="8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9"/>
    <s v="DESMONTAGEM"/>
    <s v="Desmontar peça para preparação"/>
    <x v="5"/>
    <n v="10"/>
    <n v="0.16666666666666666"/>
  </r>
  <r>
    <x v="9"/>
    <s v="PREPARAÇÃO"/>
    <s v="Raspar/Lixar"/>
    <x v="5"/>
    <n v="60"/>
    <n v="1"/>
  </r>
  <r>
    <x v="9"/>
    <s v="PREPARAÇÃO"/>
    <s v="Limpar e inspecionar"/>
    <x v="5"/>
    <n v="15"/>
    <n v="0.25"/>
  </r>
  <r>
    <x v="9"/>
    <s v="CORTE"/>
    <s v="Cortar corvin"/>
    <x v="6"/>
    <n v="10"/>
    <n v="0.16666666666666666"/>
  </r>
  <r>
    <x v="9"/>
    <s v="APLICAÇÃO COLA"/>
    <s v="Aplicar cola"/>
    <x v="5"/>
    <n v="15"/>
    <n v="0.25"/>
  </r>
  <r>
    <x v="9"/>
    <s v="COLAGEM"/>
    <s v="Colar peça"/>
    <x v="7"/>
    <n v="40"/>
    <n v="0.66666666666666663"/>
  </r>
  <r>
    <x v="9"/>
    <s v="PRÉ-MONTAGEM"/>
    <s v="Finalizar com dobra e aplicação de grampo"/>
    <x v="0"/>
    <n v="20"/>
    <n v="0.33333333333333331"/>
  </r>
  <r>
    <x v="9"/>
    <n v="0"/>
    <n v="0"/>
    <x v="3"/>
    <n v="0"/>
    <n v="0"/>
  </r>
  <r>
    <x v="9"/>
    <n v="0"/>
    <n v="0"/>
    <x v="3"/>
    <n v="0"/>
    <n v="0"/>
  </r>
  <r>
    <x v="9"/>
    <n v="0"/>
    <n v="0"/>
    <x v="3"/>
    <n v="0"/>
    <n v="0"/>
  </r>
  <r>
    <x v="9"/>
    <n v="0"/>
    <n v="0"/>
    <x v="3"/>
    <n v="0"/>
    <n v="0"/>
  </r>
  <r>
    <x v="9"/>
    <n v="0"/>
    <n v="0"/>
    <x v="3"/>
    <n v="0"/>
    <n v="0"/>
  </r>
  <r>
    <x v="9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0"/>
    <s v="PREPARAÇÃO"/>
    <s v="remoção do tecido/courvin para a preparação  "/>
    <x v="5"/>
    <n v="10"/>
    <n v="0.16666666666666666"/>
  </r>
  <r>
    <x v="10"/>
    <s v="PREPARAÇÃO"/>
    <s v="raspar/lixar"/>
    <x v="5"/>
    <n v="160"/>
    <n v="2.6666666666666665"/>
  </r>
  <r>
    <x v="10"/>
    <s v="PREPARAÇÃO"/>
    <s v="Limpar e inspecionar"/>
    <x v="5"/>
    <n v="10"/>
    <n v="0.16666666666666666"/>
  </r>
  <r>
    <x v="10"/>
    <s v="PREPARAÇÃO"/>
    <s v=" reparo estrutural"/>
    <x v="5"/>
    <n v="10"/>
    <n v="0.16666666666666666"/>
  </r>
  <r>
    <x v="10"/>
    <s v="CORTE"/>
    <s v="cortar tecido "/>
    <x v="6"/>
    <n v="15"/>
    <n v="0.25"/>
  </r>
  <r>
    <x v="10"/>
    <s v="COLAGEM"/>
    <s v="aplicação de cola contato no tecido e laterais"/>
    <x v="7"/>
    <n v="20"/>
    <n v="0.33333333333333331"/>
  </r>
  <r>
    <x v="10"/>
    <s v="COLAGEM"/>
    <s v="colar o tecido"/>
    <x v="7"/>
    <n v="40"/>
    <n v="0.66666666666666663"/>
  </r>
  <r>
    <x v="10"/>
    <s v="PRÉ-MONTAGEM"/>
    <s v="instalação do friso, prestanas de acabamento e grampos "/>
    <x v="0"/>
    <n v="40"/>
    <n v="0.66666666666666663"/>
  </r>
  <r>
    <x v="10"/>
    <n v="0"/>
    <n v="0"/>
    <x v="3"/>
    <n v="0"/>
    <n v="0"/>
  </r>
  <r>
    <x v="10"/>
    <n v="0"/>
    <n v="0"/>
    <x v="3"/>
    <n v="0"/>
    <n v="0"/>
  </r>
  <r>
    <x v="10"/>
    <n v="0"/>
    <n v="0"/>
    <x v="3"/>
    <n v="0"/>
    <n v="0"/>
  </r>
  <r>
    <x v="10"/>
    <n v="0"/>
    <n v="0"/>
    <x v="3"/>
    <n v="0"/>
    <n v="0"/>
  </r>
  <r>
    <x v="10"/>
    <n v="0"/>
    <n v="0"/>
    <x v="3"/>
    <n v="0"/>
    <n v="0"/>
  </r>
  <r>
    <x v="10"/>
    <n v="0"/>
    <n v="0"/>
    <x v="3"/>
    <n v="0"/>
    <n v="0"/>
  </r>
  <r>
    <x v="10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1"/>
    <s v="PREPARAÇÃO"/>
    <s v="remoção do courvin para a preparação  "/>
    <x v="2"/>
    <n v="10"/>
    <n v="0.16666666666666666"/>
  </r>
  <r>
    <x v="11"/>
    <s v="PREPARAÇÃO"/>
    <s v="raspar / lixar"/>
    <x v="2"/>
    <n v="120"/>
    <n v="2"/>
  </r>
  <r>
    <x v="11"/>
    <s v="PREPARAÇÃO"/>
    <s v="Limpar e inspecionar"/>
    <x v="2"/>
    <n v="10"/>
    <n v="0.16666666666666666"/>
  </r>
  <r>
    <x v="11"/>
    <s v="CORTE"/>
    <s v="Cortar corvin da ombreira"/>
    <x v="6"/>
    <n v="10"/>
    <n v="0.16666666666666666"/>
  </r>
  <r>
    <x v="11"/>
    <s v="COLAGEM"/>
    <s v="aplicação de cola p.u  no courvin e ombreiras "/>
    <x v="7"/>
    <n v="25"/>
    <n v="0.41666666666666669"/>
  </r>
  <r>
    <x v="11"/>
    <s v="COLAGEM"/>
    <s v="colar o  courvin "/>
    <x v="7"/>
    <n v="30"/>
    <n v="0.5"/>
  </r>
  <r>
    <x v="11"/>
    <s v="FINALIZAÇÃO"/>
    <s v="Grampear as bordas do revestimento e dar o acabamento (parte superior e inferior)"/>
    <x v="8"/>
    <n v="90"/>
    <n v="1.5"/>
  </r>
  <r>
    <x v="11"/>
    <n v="0"/>
    <n v="0"/>
    <x v="3"/>
    <n v="0"/>
    <n v="0"/>
  </r>
  <r>
    <x v="11"/>
    <n v="0"/>
    <n v="0"/>
    <x v="3"/>
    <n v="0"/>
    <n v="0"/>
  </r>
  <r>
    <x v="11"/>
    <n v="0"/>
    <n v="0"/>
    <x v="3"/>
    <n v="0"/>
    <n v="0"/>
  </r>
  <r>
    <x v="11"/>
    <n v="0"/>
    <n v="0"/>
    <x v="3"/>
    <n v="0"/>
    <n v="0"/>
  </r>
  <r>
    <x v="11"/>
    <n v="0"/>
    <n v="0"/>
    <x v="3"/>
    <n v="0"/>
    <n v="0"/>
  </r>
  <r>
    <x v="11"/>
    <n v="0"/>
    <n v="0"/>
    <x v="3"/>
    <n v="0"/>
    <n v="0"/>
  </r>
  <r>
    <x v="11"/>
    <n v="0"/>
    <n v="0"/>
    <x v="3"/>
    <n v="0"/>
    <n v="0"/>
  </r>
  <r>
    <x v="11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2"/>
    <s v="PREPARAÇÃO"/>
    <s v="remoção das capas "/>
    <x v="5"/>
    <n v="50"/>
    <n v="0.83333333333333337"/>
  </r>
  <r>
    <x v="12"/>
    <s v="PREPARAÇÃO"/>
    <s v="revisão da estrutura "/>
    <x v="5"/>
    <n v="30"/>
    <n v="0.5"/>
  </r>
  <r>
    <x v="12"/>
    <s v="PINTURA"/>
    <s v="reparo na estrutura com pintura"/>
    <x v="10"/>
    <n v="30"/>
    <n v="0.5"/>
  </r>
  <r>
    <x v="12"/>
    <s v="PINTURA"/>
    <s v="Enviar peças metálicas desmontadas para pintura em Fornecedor Externo"/>
    <x v="10"/>
    <n v="30"/>
    <n v="0.5"/>
  </r>
  <r>
    <x v="12"/>
    <s v="PREPARAÇÃO"/>
    <s v="Ajuste cabo de aço"/>
    <x v="5"/>
    <n v="30"/>
    <n v="0.5"/>
  </r>
  <r>
    <x v="12"/>
    <s v="PREPARAÇÃO"/>
    <s v="Destravar engrenagens após pintura"/>
    <x v="5"/>
    <n v="45"/>
    <n v="0.75"/>
  </r>
  <r>
    <x v="12"/>
    <s v="ESPUMA"/>
    <s v="Reparo de espuma"/>
    <x v="0"/>
    <n v="60"/>
    <n v="1"/>
  </r>
  <r>
    <x v="12"/>
    <s v="ESPUMA"/>
    <s v="Aplicar espuma (assento e encosto)"/>
    <x v="0"/>
    <n v="60"/>
    <n v="1"/>
  </r>
  <r>
    <x v="12"/>
    <s v="CORTE"/>
    <s v="corte do tecido com o molde Encosto/assento"/>
    <x v="6"/>
    <n v="60"/>
    <n v="1"/>
  </r>
  <r>
    <x v="12"/>
    <s v="CORTE"/>
    <s v="corte do tecido da cabeceira"/>
    <x v="6"/>
    <n v="30"/>
    <n v="0.5"/>
  </r>
  <r>
    <x v="12"/>
    <s v="COSTURA"/>
    <s v="costurar peças cortadas Encosto/Assento"/>
    <x v="9"/>
    <n v="240"/>
    <n v="4"/>
  </r>
  <r>
    <x v="12"/>
    <s v="COSTURA"/>
    <s v="Costurar cabeceira"/>
    <x v="9"/>
    <n v="30"/>
    <n v="0.5"/>
  </r>
  <r>
    <x v="12"/>
    <s v="PRÉ-MONTAGEM"/>
    <s v="Montagem do encosto"/>
    <x v="0"/>
    <n v="40"/>
    <n v="0.66666666666666663"/>
  </r>
  <r>
    <x v="12"/>
    <s v="PRÉ-MONTAGEM"/>
    <s v="Montagem do assento"/>
    <x v="0"/>
    <n v="60"/>
    <n v="1"/>
  </r>
  <r>
    <x v="12"/>
    <s v="PRÉ-MONTAGEM"/>
    <s v="Montagem completa do Banco (base, chapa RECARO, acabamento laterais)"/>
    <x v="0"/>
    <n v="90"/>
    <n v="1.5"/>
  </r>
  <r>
    <x v="12"/>
    <s v="PRÉ-MONTAGEM"/>
    <s v="Montagem do cabeceira"/>
    <x v="0"/>
    <n v="90"/>
    <n v="1.5"/>
  </r>
  <r>
    <x v="12"/>
    <n v="0"/>
    <n v="0"/>
    <x v="3"/>
    <n v="0"/>
    <n v="0"/>
  </r>
  <r>
    <x v="12"/>
    <n v="0"/>
    <n v="0"/>
    <x v="3"/>
    <n v="0"/>
    <n v="0"/>
  </r>
  <r>
    <x v="12"/>
    <n v="0"/>
    <n v="0"/>
    <x v="3"/>
    <n v="0"/>
    <n v="0"/>
  </r>
  <r>
    <x v="12"/>
    <n v="0"/>
    <n v="0"/>
    <x v="3"/>
    <n v="0"/>
    <n v="0"/>
  </r>
  <r>
    <x v="12"/>
    <n v="0"/>
    <n v="0"/>
    <x v="3"/>
    <n v="0"/>
    <n v="0"/>
  </r>
  <r>
    <x v="12"/>
    <n v="0"/>
    <n v="0"/>
    <x v="3"/>
    <n v="0"/>
    <n v="0"/>
  </r>
  <r>
    <x v="12"/>
    <n v="0"/>
    <n v="0"/>
    <x v="3"/>
    <n v="0"/>
    <n v="0"/>
  </r>
  <r>
    <x v="12"/>
    <n v="0"/>
    <n v="0"/>
    <x v="3"/>
    <n v="0"/>
    <n v="0"/>
  </r>
  <r>
    <x v="1"/>
    <m/>
    <m/>
    <x v="4"/>
    <m/>
    <n v="0"/>
  </r>
  <r>
    <x v="13"/>
    <s v="PREPARAÇÃO"/>
    <s v="Remover revestimento"/>
    <x v="2"/>
    <n v="10"/>
    <n v="0.16666666666666666"/>
  </r>
  <r>
    <x v="13"/>
    <s v="PREPARAÇÃO"/>
    <s v="Reparo volante (se necessário)"/>
    <x v="2"/>
    <n v="0"/>
    <n v="0"/>
  </r>
  <r>
    <x v="13"/>
    <s v="PREPARAÇÃO"/>
    <s v="Limpar"/>
    <x v="2"/>
    <n v="10"/>
    <n v="0.16666666666666666"/>
  </r>
  <r>
    <x v="13"/>
    <s v="CORTE"/>
    <s v="Corte couro"/>
    <x v="6"/>
    <n v="40"/>
    <n v="0.66666666666666663"/>
  </r>
  <r>
    <x v="13"/>
    <s v="CORTE"/>
    <s v="Perfilar couro para dar acabamento(manualmente)"/>
    <x v="6"/>
    <n v="70"/>
    <n v="1.1666666666666667"/>
  </r>
  <r>
    <x v="13"/>
    <s v="APLICAÇÃO COLA"/>
    <s v="Aplicação cola e ajuste"/>
    <x v="5"/>
    <n v="30"/>
    <n v="0.5"/>
  </r>
  <r>
    <x v="13"/>
    <s v="COSTURA"/>
    <s v="costura da borda  e Fechamento do volante"/>
    <x v="9"/>
    <n v="90"/>
    <n v="1.5"/>
  </r>
  <r>
    <x v="13"/>
    <n v="0"/>
    <n v="0"/>
    <x v="3"/>
    <n v="0"/>
    <n v="0"/>
  </r>
  <r>
    <x v="13"/>
    <n v="0"/>
    <n v="0"/>
    <x v="3"/>
    <n v="0"/>
    <n v="0"/>
  </r>
  <r>
    <x v="13"/>
    <n v="0"/>
    <n v="0"/>
    <x v="3"/>
    <n v="0"/>
    <n v="0"/>
  </r>
  <r>
    <x v="13"/>
    <n v="0"/>
    <n v="0"/>
    <x v="3"/>
    <n v="0"/>
    <n v="0"/>
  </r>
  <r>
    <x v="13"/>
    <n v="0"/>
    <n v="0"/>
    <x v="3"/>
    <n v="0"/>
    <n v="0"/>
  </r>
  <r>
    <x v="13"/>
    <n v="0"/>
    <n v="0"/>
    <x v="3"/>
    <n v="0"/>
    <n v="0"/>
  </r>
  <r>
    <x v="13"/>
    <n v="0"/>
    <n v="0"/>
    <x v="3"/>
    <n v="0"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  <r>
    <x v="1"/>
    <m/>
    <m/>
    <x v="4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x v="0"/>
    <s v="DESMONTAGEM"/>
    <s v="Verificar se não tem nenhuma peça quebrada ou faltante, riscos externos e internos (Checklist durante desmontagem (Foto/Filmagem)"/>
    <s v="Kadu"/>
    <n v="15"/>
    <n v="15"/>
    <n v="1"/>
  </r>
  <r>
    <x v="0"/>
    <s v="DESMONTAGEM"/>
    <s v="Retirada do volante (se necessário)"/>
    <s v="Kadu"/>
    <n v="20"/>
    <n v="20"/>
    <n v="1"/>
  </r>
  <r>
    <x v="0"/>
    <s v="DESMONTAGEM"/>
    <s v="Retirar bancos D/T"/>
    <s v="Kadu"/>
    <n v="10"/>
    <n v="20"/>
    <n v="1"/>
  </r>
  <r>
    <x v="0"/>
    <s v="DESMONTAGEM"/>
    <s v="Retirar Laterais D/T + Ombreiras"/>
    <s v="Brea"/>
    <n v="15"/>
    <n v="15"/>
    <n v="1"/>
  </r>
  <r>
    <x v="0"/>
    <s v="DESMONTAGEM"/>
    <s v="Retirar console + carpete do assoalho "/>
    <s v="Nikolas"/>
    <n v="40"/>
    <n v="40"/>
    <n v="1"/>
  </r>
  <r>
    <x v="0"/>
    <s v="DESMONTAGEM"/>
    <s v="Retirada da lateral do porta-malas "/>
    <s v="Nikolas"/>
    <n v="15"/>
    <n v="15"/>
    <n v="0.1"/>
  </r>
  <r>
    <x v="0"/>
    <s v="DESMONTAGEM"/>
    <s v="Retirada do carpete da caixa de rodas +chão do porta-malas e prateleiras do tampão."/>
    <s v="Nikolas"/>
    <n v="30"/>
    <n v="330"/>
    <n v="1"/>
  </r>
  <r>
    <x v="0"/>
    <s v="DESMONTAGEM"/>
    <s v="Retirada do teto + acessórios  e colunas. "/>
    <s v="Nikolas"/>
    <n v="60"/>
    <n v="60"/>
    <n v="1"/>
  </r>
  <r>
    <x v="0"/>
    <m/>
    <m/>
    <e v="#N/A"/>
    <m/>
    <m/>
    <m/>
  </r>
  <r>
    <x v="0"/>
    <m/>
    <m/>
    <e v="#N/A"/>
    <m/>
    <m/>
    <m/>
  </r>
  <r>
    <x v="0"/>
    <m/>
    <m/>
    <e v="#N/A"/>
    <m/>
    <m/>
    <m/>
  </r>
  <r>
    <x v="0"/>
    <m/>
    <m/>
    <e v="#N/A"/>
    <m/>
    <m/>
    <m/>
  </r>
  <r>
    <x v="0"/>
    <m/>
    <m/>
    <e v="#N/A"/>
    <m/>
    <m/>
    <m/>
  </r>
  <r>
    <x v="0"/>
    <m/>
    <m/>
    <e v="#N/A"/>
    <m/>
    <m/>
    <m/>
  </r>
  <r>
    <x v="1"/>
    <s v="PREPARAÇÃO"/>
    <s v="Aspiração detalhada "/>
    <s v="Lohan"/>
    <n v="25"/>
    <n v="50"/>
    <n v="1"/>
  </r>
  <r>
    <x v="1"/>
    <m/>
    <m/>
    <e v="#N/A"/>
    <m/>
    <m/>
    <m/>
  </r>
  <r>
    <x v="1"/>
    <m/>
    <m/>
    <e v="#N/A"/>
    <m/>
    <m/>
    <m/>
  </r>
  <r>
    <x v="1"/>
    <m/>
    <m/>
    <e v="#N/A"/>
    <m/>
    <m/>
    <m/>
  </r>
  <r>
    <x v="1"/>
    <m/>
    <m/>
    <e v="#N/A"/>
    <m/>
    <m/>
    <m/>
  </r>
  <r>
    <x v="1"/>
    <m/>
    <m/>
    <e v="#N/A"/>
    <m/>
    <m/>
    <m/>
  </r>
  <r>
    <x v="1"/>
    <m/>
    <m/>
    <e v="#N/A"/>
    <m/>
    <m/>
    <m/>
  </r>
  <r>
    <x v="1"/>
    <m/>
    <m/>
    <e v="#N/A"/>
    <m/>
    <m/>
    <m/>
  </r>
  <r>
    <x v="2"/>
    <s v="CORTE"/>
    <s v="Cortar Feltro seguindo molde assoalho "/>
    <s v="Rita"/>
    <n v="45"/>
    <n v="90"/>
    <n v="0"/>
  </r>
  <r>
    <x v="2"/>
    <s v="APLICAÇÃO COLA"/>
    <s v="Aplicar cola  no feltro"/>
    <s v="Lohan"/>
    <n v="20"/>
    <m/>
    <n v="0"/>
  </r>
  <r>
    <x v="2"/>
    <s v="PREPARAÇÃO"/>
    <s v="Colagem do feltro no assoalho"/>
    <s v="Lohan"/>
    <n v="40"/>
    <m/>
    <n v="0"/>
  </r>
  <r>
    <x v="2"/>
    <s v="PREPARAÇÃO"/>
    <s v="Aplicar feltro no teto"/>
    <s v="Lohan"/>
    <n v="60"/>
    <m/>
    <n v="0"/>
  </r>
  <r>
    <x v="2"/>
    <s v="PREPARAÇÃO"/>
    <s v="Aplicar isolante no assoalho"/>
    <s v="Lohan"/>
    <n v="90"/>
    <m/>
    <n v="0"/>
  </r>
  <r>
    <x v="2"/>
    <s v="PREPARAÇÃO"/>
    <s v="Aplicar isolante no teto"/>
    <s v="Lohan"/>
    <n v="90"/>
    <m/>
    <n v="0"/>
  </r>
  <r>
    <x v="2"/>
    <m/>
    <m/>
    <e v="#N/A"/>
    <m/>
    <m/>
    <m/>
  </r>
  <r>
    <x v="2"/>
    <m/>
    <m/>
    <e v="#N/A"/>
    <m/>
    <m/>
    <m/>
  </r>
  <r>
    <x v="2"/>
    <m/>
    <m/>
    <e v="#N/A"/>
    <m/>
    <m/>
    <m/>
  </r>
  <r>
    <x v="2"/>
    <m/>
    <m/>
    <e v="#N/A"/>
    <m/>
    <m/>
    <m/>
  </r>
  <r>
    <x v="2"/>
    <m/>
    <m/>
    <e v="#N/A"/>
    <m/>
    <m/>
    <m/>
  </r>
  <r>
    <x v="2"/>
    <m/>
    <m/>
    <e v="#N/A"/>
    <m/>
    <m/>
    <m/>
  </r>
  <r>
    <x v="2"/>
    <m/>
    <m/>
    <e v="#N/A"/>
    <m/>
    <m/>
    <m/>
  </r>
  <r>
    <x v="3"/>
    <s v="DESMONTAGEM"/>
    <s v="Desmontar teto e colunas"/>
    <s v="Nikolas"/>
    <n v="80"/>
    <m/>
    <n v="0"/>
  </r>
  <r>
    <x v="3"/>
    <s v="PREPARAÇÃO"/>
    <s v="Remoção tecido antigo e limpeza"/>
    <s v="Nikolas"/>
    <n v="240"/>
    <m/>
    <n v="0"/>
  </r>
  <r>
    <x v="3"/>
    <s v="PREPARAÇÃO"/>
    <s v="Limpeza das colunas originais"/>
    <s v="Nikolas"/>
    <n v="60"/>
    <m/>
    <n v="0"/>
  </r>
  <r>
    <x v="3"/>
    <s v="CORTE"/>
    <s v="Corte do novo tecido"/>
    <s v="Rita"/>
    <n v="15"/>
    <m/>
    <n v="0"/>
  </r>
  <r>
    <x v="3"/>
    <s v="APLICAÇÃO COLA"/>
    <s v="Aplicação cola no teto e no tecido"/>
    <s v="Nikolas"/>
    <n v="30"/>
    <m/>
    <n v="0"/>
  </r>
  <r>
    <x v="3"/>
    <s v="COLAGEM"/>
    <s v="Revestir o teto com tecido novo"/>
    <s v="Gabriel"/>
    <n v="80"/>
    <m/>
    <n v="0"/>
  </r>
  <r>
    <x v="3"/>
    <s v="MONTAGEM"/>
    <s v="Montar teto e colunas"/>
    <s v="Arthur"/>
    <n v="80"/>
    <m/>
    <n v="0"/>
  </r>
  <r>
    <x v="3"/>
    <m/>
    <m/>
    <e v="#N/A"/>
    <m/>
    <m/>
    <m/>
  </r>
  <r>
    <x v="3"/>
    <m/>
    <m/>
    <e v="#N/A"/>
    <m/>
    <m/>
    <m/>
  </r>
  <r>
    <x v="3"/>
    <m/>
    <m/>
    <e v="#N/A"/>
    <m/>
    <m/>
    <m/>
  </r>
  <r>
    <x v="3"/>
    <m/>
    <m/>
    <e v="#N/A"/>
    <m/>
    <m/>
    <m/>
  </r>
  <r>
    <x v="3"/>
    <m/>
    <m/>
    <e v="#N/A"/>
    <m/>
    <m/>
    <m/>
  </r>
  <r>
    <x v="3"/>
    <m/>
    <m/>
    <e v="#N/A"/>
    <m/>
    <m/>
    <m/>
  </r>
  <r>
    <x v="4"/>
    <s v="MONTAGEM"/>
    <s v="Instalaçao cinto de 3 pontos retrateis - novos BRV"/>
    <s v="Arthur"/>
    <n v="10"/>
    <m/>
    <n v="0"/>
  </r>
  <r>
    <x v="4"/>
    <s v="MONTAGEM"/>
    <s v="Instalação de cintos abdominais traseiros 3 pçs - BRV"/>
    <s v="Arthur"/>
    <n v="15"/>
    <m/>
    <n v="0"/>
  </r>
  <r>
    <x v="4"/>
    <m/>
    <m/>
    <e v="#N/A"/>
    <m/>
    <m/>
    <m/>
  </r>
  <r>
    <x v="4"/>
    <m/>
    <m/>
    <e v="#N/A"/>
    <m/>
    <m/>
    <m/>
  </r>
  <r>
    <x v="4"/>
    <m/>
    <m/>
    <e v="#N/A"/>
    <m/>
    <m/>
    <m/>
  </r>
  <r>
    <x v="4"/>
    <m/>
    <m/>
    <e v="#N/A"/>
    <m/>
    <m/>
    <m/>
  </r>
  <r>
    <x v="4"/>
    <m/>
    <m/>
    <e v="#N/A"/>
    <m/>
    <m/>
    <m/>
  </r>
  <r>
    <x v="4"/>
    <m/>
    <m/>
    <e v="#N/A"/>
    <m/>
    <m/>
    <m/>
  </r>
  <r>
    <x v="5"/>
    <s v="PREPARAÇÃO"/>
    <m/>
    <s v="Lohan"/>
    <m/>
    <m/>
    <m/>
  </r>
  <r>
    <x v="5"/>
    <s v="PREPARAÇÃO"/>
    <m/>
    <s v="Lohan"/>
    <m/>
    <m/>
    <m/>
  </r>
  <r>
    <x v="5"/>
    <s v="COSTURA"/>
    <m/>
    <s v="Edna"/>
    <m/>
    <m/>
    <m/>
  </r>
  <r>
    <x v="5"/>
    <s v="MONTAGEM"/>
    <s v="Instalação Carpete no Assoalho "/>
    <s v="Arthur"/>
    <n v="60"/>
    <m/>
    <n v="0"/>
  </r>
  <r>
    <x v="5"/>
    <m/>
    <m/>
    <e v="#N/A"/>
    <m/>
    <m/>
    <m/>
  </r>
  <r>
    <x v="5"/>
    <m/>
    <m/>
    <e v="#N/A"/>
    <m/>
    <m/>
    <m/>
  </r>
  <r>
    <x v="5"/>
    <m/>
    <m/>
    <e v="#N/A"/>
    <m/>
    <m/>
    <m/>
  </r>
  <r>
    <x v="5"/>
    <m/>
    <m/>
    <e v="#N/A"/>
    <m/>
    <m/>
    <m/>
  </r>
  <r>
    <x v="5"/>
    <m/>
    <m/>
    <e v="#N/A"/>
    <m/>
    <m/>
    <m/>
  </r>
  <r>
    <x v="6"/>
    <s v="MONTAGEM"/>
    <s v="instalação de console + prolongador "/>
    <s v="Arthur"/>
    <n v="10"/>
    <m/>
    <n v="0"/>
  </r>
  <r>
    <x v="6"/>
    <s v="MONTAGEM"/>
    <s v="instalação do acabamento do freio de mão"/>
    <s v="Arthur"/>
    <m/>
    <m/>
    <m/>
  </r>
  <r>
    <x v="6"/>
    <s v="MONTAGEM"/>
    <s v="instalação na manopla de cambio BRV"/>
    <s v="Arthur"/>
    <n v="10"/>
    <m/>
    <n v="0"/>
  </r>
  <r>
    <x v="6"/>
    <m/>
    <m/>
    <e v="#N/A"/>
    <m/>
    <m/>
    <m/>
  </r>
  <r>
    <x v="6"/>
    <m/>
    <m/>
    <e v="#N/A"/>
    <m/>
    <m/>
    <m/>
  </r>
  <r>
    <x v="6"/>
    <m/>
    <m/>
    <e v="#N/A"/>
    <m/>
    <m/>
    <m/>
  </r>
  <r>
    <x v="6"/>
    <m/>
    <m/>
    <e v="#N/A"/>
    <m/>
    <m/>
    <m/>
  </r>
  <r>
    <x v="6"/>
    <m/>
    <m/>
    <e v="#N/A"/>
    <m/>
    <m/>
    <m/>
  </r>
  <r>
    <x v="6"/>
    <m/>
    <m/>
    <e v="#N/A"/>
    <m/>
    <m/>
    <m/>
  </r>
  <r>
    <x v="7"/>
    <s v="CORTE"/>
    <s v="Cortar carpete do fundo do porta malas"/>
    <s v="Rita"/>
    <n v="20"/>
    <m/>
    <n v="0"/>
  </r>
  <r>
    <x v="7"/>
    <s v="CORTE"/>
    <s v="Cortar carpete da caixa de roda"/>
    <s v="Rita"/>
    <n v="10"/>
    <m/>
    <n v="0"/>
  </r>
  <r>
    <x v="7"/>
    <s v="COLAGEM"/>
    <s v="Aplicar cola para adesão no assoalho do porta malas e caixas de rodas e lateral do tampão"/>
    <s v="Gabriel"/>
    <n v="30"/>
    <m/>
    <n v="0"/>
  </r>
  <r>
    <x v="7"/>
    <s v="COLAGEM"/>
    <s v=" Colar  carpete da lateral do tampao"/>
    <s v="Gabriel"/>
    <n v="10"/>
    <m/>
    <n v="0"/>
  </r>
  <r>
    <x v="7"/>
    <s v="MODELAGEM"/>
    <s v="Modelar carpete nas caixas de rodas"/>
    <s v="Arthur"/>
    <n v="50"/>
    <m/>
    <n v="0"/>
  </r>
  <r>
    <x v="7"/>
    <s v="MODELAGEM"/>
    <s v="Modelar carpete do fundo do porta malas"/>
    <s v="Arthur"/>
    <n v="50"/>
    <m/>
    <n v="0"/>
  </r>
  <r>
    <x v="7"/>
    <s v="PRÉ-MONTAGEM"/>
    <s v="Instalar kit de lateral do porta malas BRV"/>
    <s v="Kadu"/>
    <n v="5"/>
    <m/>
    <n v="0"/>
  </r>
  <r>
    <x v="7"/>
    <s v="MODELAGEM"/>
    <s v="Instatalação da capa de macaco e triângulo (cor)"/>
    <s v="Arthur"/>
    <n v="5"/>
    <m/>
    <n v="0"/>
  </r>
  <r>
    <x v="7"/>
    <s v="MODELAGEM"/>
    <s v="insalação da capa de estepe (cor?)"/>
    <s v="Arthur"/>
    <n v="5"/>
    <m/>
    <n v="0"/>
  </r>
  <r>
    <x v="7"/>
    <m/>
    <m/>
    <e v="#N/A"/>
    <m/>
    <m/>
    <m/>
  </r>
  <r>
    <x v="7"/>
    <m/>
    <m/>
    <e v="#N/A"/>
    <m/>
    <m/>
    <m/>
  </r>
  <r>
    <x v="7"/>
    <m/>
    <m/>
    <e v="#N/A"/>
    <m/>
    <m/>
    <m/>
  </r>
  <r>
    <x v="7"/>
    <m/>
    <m/>
    <e v="#N/A"/>
    <m/>
    <m/>
    <m/>
  </r>
  <r>
    <x v="7"/>
    <m/>
    <m/>
    <e v="#N/A"/>
    <m/>
    <m/>
    <m/>
  </r>
  <r>
    <x v="7"/>
    <m/>
    <m/>
    <e v="#N/A"/>
    <m/>
    <m/>
    <m/>
  </r>
  <r>
    <x v="8"/>
    <s v="DESMONTAGEM"/>
    <s v="Desmontar peça para preparação"/>
    <s v="Lohan"/>
    <n v="10"/>
    <m/>
    <n v="0"/>
  </r>
  <r>
    <x v="8"/>
    <s v="PREPARAÇÃO"/>
    <s v="Raspar/Lixar"/>
    <s v="Lohan"/>
    <n v="60"/>
    <m/>
    <n v="0"/>
  </r>
  <r>
    <x v="8"/>
    <s v="PREPARAÇÃO"/>
    <s v="Limpar e inspecionar"/>
    <s v="Lohan"/>
    <n v="15"/>
    <m/>
    <n v="0"/>
  </r>
  <r>
    <x v="8"/>
    <s v="CORTE"/>
    <s v="Cortar corvin"/>
    <s v="Rita"/>
    <n v="10"/>
    <m/>
    <n v="0"/>
  </r>
  <r>
    <x v="8"/>
    <s v="APLICAÇÃO COLA"/>
    <s v="Aplicar cola"/>
    <s v="Lohan"/>
    <n v="15"/>
    <m/>
    <n v="0"/>
  </r>
  <r>
    <x v="8"/>
    <s v="COLAGEM"/>
    <s v="Colar peça"/>
    <s v="Gabriel"/>
    <n v="40"/>
    <m/>
    <n v="0"/>
  </r>
  <r>
    <x v="8"/>
    <s v="PRÉ-MONTAGEM"/>
    <s v="Finalizar com dobra e aplicação de grampo"/>
    <s v="Kadu"/>
    <n v="20"/>
    <m/>
    <n v="0"/>
  </r>
  <r>
    <x v="8"/>
    <m/>
    <m/>
    <e v="#N/A"/>
    <m/>
    <m/>
    <m/>
  </r>
  <r>
    <x v="8"/>
    <m/>
    <m/>
    <e v="#N/A"/>
    <m/>
    <m/>
    <m/>
  </r>
  <r>
    <x v="8"/>
    <m/>
    <m/>
    <e v="#N/A"/>
    <m/>
    <m/>
    <m/>
  </r>
  <r>
    <x v="8"/>
    <m/>
    <m/>
    <e v="#N/A"/>
    <m/>
    <m/>
    <m/>
  </r>
  <r>
    <x v="8"/>
    <m/>
    <m/>
    <e v="#N/A"/>
    <m/>
    <m/>
    <m/>
  </r>
  <r>
    <x v="8"/>
    <m/>
    <m/>
    <e v="#N/A"/>
    <m/>
    <m/>
    <m/>
  </r>
  <r>
    <x v="9"/>
    <s v="PREPARAÇÃO"/>
    <s v="remoção do tecido/courvin para a preparação  "/>
    <s v="Lohan"/>
    <n v="10"/>
    <m/>
    <n v="0"/>
  </r>
  <r>
    <x v="9"/>
    <s v="PREPARAÇÃO"/>
    <s v="raspar/lixar"/>
    <s v="Lohan"/>
    <n v="160"/>
    <m/>
    <n v="0"/>
  </r>
  <r>
    <x v="9"/>
    <s v="PREPARAÇÃO"/>
    <s v="Limpar e inspecionar"/>
    <s v="Lohan"/>
    <n v="10"/>
    <m/>
    <n v="0"/>
  </r>
  <r>
    <x v="9"/>
    <s v="PREPARAÇÃO"/>
    <s v=" reparo estrutural"/>
    <s v="Lohan"/>
    <n v="10"/>
    <m/>
    <n v="0"/>
  </r>
  <r>
    <x v="9"/>
    <s v="CORTE"/>
    <s v="cortar tecido "/>
    <s v="Rita"/>
    <n v="15"/>
    <m/>
    <n v="0"/>
  </r>
  <r>
    <x v="9"/>
    <s v="COLAGEM"/>
    <s v="aplicação de cola contato no tecido e laterais"/>
    <s v="Gabriel"/>
    <n v="20"/>
    <m/>
    <n v="0"/>
  </r>
  <r>
    <x v="9"/>
    <s v="COLAGEM"/>
    <s v="colar o tecido"/>
    <s v="Gabriel"/>
    <n v="40"/>
    <m/>
    <n v="0"/>
  </r>
  <r>
    <x v="9"/>
    <s v="PRÉ-MONTAGEM"/>
    <s v="instalação do friso, prestanas de acabamento e grampos "/>
    <s v="Kadu"/>
    <n v="40"/>
    <m/>
    <n v="0"/>
  </r>
  <r>
    <x v="9"/>
    <m/>
    <m/>
    <e v="#N/A"/>
    <m/>
    <m/>
    <m/>
  </r>
  <r>
    <x v="9"/>
    <m/>
    <m/>
    <e v="#N/A"/>
    <m/>
    <m/>
    <m/>
  </r>
  <r>
    <x v="9"/>
    <m/>
    <m/>
    <e v="#N/A"/>
    <m/>
    <m/>
    <m/>
  </r>
  <r>
    <x v="9"/>
    <m/>
    <m/>
    <e v="#N/A"/>
    <m/>
    <m/>
    <m/>
  </r>
  <r>
    <x v="9"/>
    <m/>
    <m/>
    <e v="#N/A"/>
    <m/>
    <m/>
    <m/>
  </r>
  <r>
    <x v="9"/>
    <m/>
    <m/>
    <e v="#N/A"/>
    <m/>
    <m/>
    <m/>
  </r>
  <r>
    <x v="9"/>
    <m/>
    <m/>
    <e v="#N/A"/>
    <m/>
    <m/>
    <m/>
  </r>
  <r>
    <x v="10"/>
    <s v="PREPARAÇÃO"/>
    <s v="remoção do courvin para a preparação  "/>
    <s v="Nikolas"/>
    <n v="10"/>
    <m/>
    <n v="0"/>
  </r>
  <r>
    <x v="10"/>
    <s v="PREPARAÇÃO"/>
    <s v="raspar / lixar"/>
    <s v="Nikolas"/>
    <n v="120"/>
    <m/>
    <n v="0"/>
  </r>
  <r>
    <x v="10"/>
    <s v="PREPARAÇÃO"/>
    <s v="Limpar e inspecionar"/>
    <s v="Nikolas"/>
    <n v="10"/>
    <m/>
    <n v="0"/>
  </r>
  <r>
    <x v="10"/>
    <s v="CORTE"/>
    <s v="Cortar corvin da ombreira"/>
    <s v="Rita"/>
    <n v="10"/>
    <m/>
    <n v="0"/>
  </r>
  <r>
    <x v="10"/>
    <s v="COLAGEM"/>
    <s v="aplicação de cola p.u  no courvin e ombreiras "/>
    <s v="Gabriel"/>
    <n v="25"/>
    <m/>
    <n v="0"/>
  </r>
  <r>
    <x v="10"/>
    <s v="COLAGEM"/>
    <s v="colar o  courvin "/>
    <s v="Gabriel"/>
    <n v="30"/>
    <m/>
    <n v="0"/>
  </r>
  <r>
    <x v="10"/>
    <s v="FINALIZAÇÃO"/>
    <s v="Grampear as bordas do revestimento e dar o acabamento (parte superior e inferior)"/>
    <s v="Arthur"/>
    <n v="90"/>
    <m/>
    <n v="0"/>
  </r>
  <r>
    <x v="10"/>
    <m/>
    <m/>
    <e v="#N/A"/>
    <m/>
    <m/>
    <m/>
  </r>
  <r>
    <x v="10"/>
    <m/>
    <m/>
    <e v="#N/A"/>
    <m/>
    <m/>
    <m/>
  </r>
  <r>
    <x v="10"/>
    <m/>
    <m/>
    <e v="#N/A"/>
    <m/>
    <m/>
    <m/>
  </r>
  <r>
    <x v="10"/>
    <m/>
    <m/>
    <e v="#N/A"/>
    <m/>
    <m/>
    <m/>
  </r>
  <r>
    <x v="10"/>
    <m/>
    <m/>
    <e v="#N/A"/>
    <m/>
    <m/>
    <m/>
  </r>
  <r>
    <x v="10"/>
    <m/>
    <m/>
    <e v="#N/A"/>
    <m/>
    <m/>
    <m/>
  </r>
  <r>
    <x v="10"/>
    <m/>
    <m/>
    <e v="#N/A"/>
    <m/>
    <m/>
    <m/>
  </r>
  <r>
    <x v="10"/>
    <m/>
    <m/>
    <e v="#N/A"/>
    <m/>
    <m/>
    <m/>
  </r>
  <r>
    <x v="11"/>
    <s v="PREPARAÇÃO"/>
    <s v="cortar EVA para duratex "/>
    <s v="Nikolas"/>
    <n v="20"/>
    <m/>
    <n v="0"/>
  </r>
  <r>
    <x v="11"/>
    <s v="COLAGEM"/>
    <s v="aplicação de cola contato no duratex e EVA e colar"/>
    <s v="Gabriel"/>
    <n v="10"/>
    <m/>
    <n v="0"/>
  </r>
  <r>
    <x v="11"/>
    <s v="PREPARAÇÃO"/>
    <s v="Queimar o EVA no padrão das laterais, lixae as bordas  (para criar vincos) "/>
    <s v="Nikolas"/>
    <n v="40"/>
    <m/>
    <n v="0"/>
  </r>
  <r>
    <x v="11"/>
    <s v="CORTE"/>
    <s v="corte do tecido, courvin, cristal, palmilha, papel pardo e carpete"/>
    <s v="Rita"/>
    <n v="40"/>
    <m/>
    <n v="0"/>
  </r>
  <r>
    <x v="11"/>
    <s v="COLAGEM"/>
    <s v="aplicação de cola P.U no courvin (na espátula)"/>
    <s v="Gabriel"/>
    <n v="10"/>
    <m/>
    <n v="0"/>
  </r>
  <r>
    <x v="11"/>
    <s v="COLAGEM"/>
    <s v="aplicação de cola contato no tecido e no EVA"/>
    <s v="Gabriel"/>
    <n v="5"/>
    <m/>
    <n v="0"/>
  </r>
  <r>
    <x v="11"/>
    <s v="COLAGEM"/>
    <s v="colagem do tecido no EVA (parte superior da peça)"/>
    <s v="Gabriel"/>
    <n v="30"/>
    <m/>
    <n v="0"/>
  </r>
  <r>
    <x v="11"/>
    <s v="MODELAGEM"/>
    <s v="setup da máquina de costura eletrônica"/>
    <s v="Arthur"/>
    <n v="70"/>
    <m/>
    <n v="0"/>
  </r>
  <r>
    <x v="11"/>
    <s v="MODELAGEM"/>
    <s v="prensagem e perfilamento do carpete"/>
    <s v="Arthur"/>
    <n v="50"/>
    <m/>
    <n v="0"/>
  </r>
  <r>
    <x v="11"/>
    <s v="COLAGEM"/>
    <s v="aplicação de cola na parte inferior da lateral (área do carpete) e no carpete"/>
    <s v="Gabriel"/>
    <n v="10"/>
    <m/>
    <n v="0"/>
  </r>
  <r>
    <x v="11"/>
    <s v="COLAGEM"/>
    <s v="colar o carpete na parte inferior"/>
    <s v="Gabriel"/>
    <n v="20"/>
    <m/>
    <n v="0"/>
  </r>
  <r>
    <x v="11"/>
    <s v="FINALIZAÇÃO"/>
    <s v="grampear as bordas do revestimento e dar o acabamento (parte superior e inferior)"/>
    <s v="Arthur"/>
    <n v="20"/>
    <m/>
    <n v="0"/>
  </r>
  <r>
    <x v="11"/>
    <s v="COLAGEM"/>
    <s v="colagem do friso de acabamento"/>
    <s v="Gabriel"/>
    <n v="20"/>
    <m/>
    <n v="0"/>
  </r>
  <r>
    <x v="11"/>
    <s v="PRÉ-MONTAGEM"/>
    <s v="montar peças de acabamento porta-treco"/>
    <s v="Kadu"/>
    <n v="20"/>
    <m/>
    <n v="0"/>
  </r>
  <r>
    <x v="11"/>
    <m/>
    <m/>
    <e v="#N/A"/>
    <m/>
    <m/>
    <m/>
  </r>
  <r>
    <x v="11"/>
    <m/>
    <m/>
    <e v="#N/A"/>
    <m/>
    <m/>
    <m/>
  </r>
  <r>
    <x v="11"/>
    <m/>
    <m/>
    <e v="#N/A"/>
    <m/>
    <m/>
    <m/>
  </r>
  <r>
    <x v="11"/>
    <m/>
    <m/>
    <e v="#N/A"/>
    <m/>
    <m/>
    <m/>
  </r>
  <r>
    <x v="11"/>
    <m/>
    <m/>
    <e v="#N/A"/>
    <m/>
    <m/>
    <m/>
  </r>
  <r>
    <x v="11"/>
    <m/>
    <m/>
    <e v="#N/A"/>
    <m/>
    <m/>
    <m/>
  </r>
  <r>
    <x v="11"/>
    <m/>
    <m/>
    <e v="#N/A"/>
    <m/>
    <m/>
    <m/>
  </r>
  <r>
    <x v="12"/>
    <s v="MONTAGEM"/>
    <s v="Instalação Quebra Sol  BRV"/>
    <s v="Arthur"/>
    <n v="15"/>
    <m/>
    <n v="0"/>
  </r>
  <r>
    <x v="12"/>
    <s v="MONTAGEM"/>
    <s v="Quebra Sol"/>
    <s v="Arthur"/>
    <m/>
    <m/>
    <m/>
  </r>
  <r>
    <x v="12"/>
    <s v="MONTAGEM"/>
    <s v="Coifa Cambio"/>
    <s v="Arthur"/>
    <m/>
    <m/>
    <m/>
  </r>
  <r>
    <x v="12"/>
    <s v="MONTAGEM"/>
    <s v="Coifa freio de mão"/>
    <s v="Arthur"/>
    <m/>
    <m/>
    <m/>
  </r>
  <r>
    <x v="12"/>
    <s v="MONTAGEM"/>
    <s v="Coifa"/>
    <s v="Arthur"/>
    <m/>
    <m/>
    <m/>
  </r>
  <r>
    <x v="12"/>
    <m/>
    <m/>
    <e v="#N/A"/>
    <m/>
    <m/>
    <m/>
  </r>
  <r>
    <x v="12"/>
    <m/>
    <m/>
    <e v="#N/A"/>
    <m/>
    <m/>
    <m/>
  </r>
  <r>
    <x v="12"/>
    <m/>
    <m/>
    <e v="#N/A"/>
    <m/>
    <m/>
    <m/>
  </r>
  <r>
    <x v="12"/>
    <m/>
    <m/>
    <e v="#N/A"/>
    <m/>
    <m/>
    <m/>
  </r>
  <r>
    <x v="12"/>
    <m/>
    <m/>
    <e v="#N/A"/>
    <m/>
    <m/>
    <m/>
  </r>
  <r>
    <x v="12"/>
    <m/>
    <m/>
    <e v="#N/A"/>
    <m/>
    <m/>
    <m/>
  </r>
  <r>
    <x v="13"/>
    <s v="PREPARAÇÃO"/>
    <s v="remoção das capas "/>
    <s v="Nikolas"/>
    <n v="10"/>
    <m/>
    <n v="0"/>
  </r>
  <r>
    <x v="13"/>
    <s v="PREPARAÇÃO"/>
    <s v="revisão da estrutura "/>
    <s v="Nikolas"/>
    <n v="5"/>
    <m/>
    <n v="0"/>
  </r>
  <r>
    <x v="13"/>
    <s v="PREPARAÇÃO"/>
    <s v="reparo na estrutura solda "/>
    <s v="Nikolas"/>
    <n v="15"/>
    <m/>
    <n v="0"/>
  </r>
  <r>
    <x v="13"/>
    <s v="SERRALHERIA"/>
    <s v="reparo na estrutura "/>
    <s v="Brea"/>
    <n v="5"/>
    <m/>
    <n v="0"/>
  </r>
  <r>
    <x v="13"/>
    <s v="ESPUMA"/>
    <s v="PINTURA ELETROSTATICA"/>
    <s v="Kadu"/>
    <n v="60"/>
    <m/>
    <n v="0"/>
  </r>
  <r>
    <x v="13"/>
    <s v="CORTE"/>
    <s v="corte do tecido com o molde"/>
    <s v="Rita"/>
    <n v="60"/>
    <m/>
    <n v="0"/>
  </r>
  <r>
    <x v="13"/>
    <s v="COSTURA"/>
    <s v="costurar peças cortadas"/>
    <s v="Edna"/>
    <n v="60"/>
    <m/>
    <n v="0"/>
  </r>
  <r>
    <x v="13"/>
    <s v="ESPUMA"/>
    <s v="Colagemm das Espumas nas estruturas"/>
    <s v="Kadu"/>
    <n v="60"/>
    <m/>
    <n v="0"/>
  </r>
  <r>
    <x v="13"/>
    <s v="COLAGEM"/>
    <s v="Colar tecido na espuma parte inferior assento"/>
    <s v="Gabriel"/>
    <n v="10"/>
    <m/>
    <n v="0"/>
  </r>
  <r>
    <x v="13"/>
    <s v="PRÉ-MONTAGEM"/>
    <s v="Montagem do banco traseiro assento (capa pronta)"/>
    <s v="Kadu"/>
    <n v="60"/>
    <m/>
    <n v="0"/>
  </r>
  <r>
    <x v="13"/>
    <s v="PRÉ-MONTAGEM"/>
    <s v="Montagem do banco traseiro encosto (capa pronta)"/>
    <s v="Kadu"/>
    <n v="60"/>
    <m/>
    <n v="0"/>
  </r>
  <r>
    <x v="13"/>
    <s v="FINALIZAÇÃO"/>
    <s v="Finalizar com Steamer"/>
    <s v="Arthur"/>
    <n v="30"/>
    <m/>
    <n v="0"/>
  </r>
  <r>
    <x v="13"/>
    <m/>
    <m/>
    <e v="#N/A"/>
    <m/>
    <m/>
    <m/>
  </r>
  <r>
    <x v="13"/>
    <m/>
    <m/>
    <e v="#N/A"/>
    <m/>
    <m/>
    <m/>
  </r>
  <r>
    <x v="13"/>
    <m/>
    <m/>
    <e v="#N/A"/>
    <m/>
    <m/>
    <m/>
  </r>
  <r>
    <x v="13"/>
    <m/>
    <m/>
    <e v="#N/A"/>
    <m/>
    <m/>
    <m/>
  </r>
  <r>
    <x v="13"/>
    <m/>
    <m/>
    <e v="#N/A"/>
    <m/>
    <m/>
    <m/>
  </r>
  <r>
    <x v="13"/>
    <m/>
    <m/>
    <e v="#N/A"/>
    <m/>
    <m/>
    <m/>
  </r>
  <r>
    <x v="13"/>
    <m/>
    <m/>
    <e v="#N/A"/>
    <m/>
    <m/>
    <m/>
  </r>
  <r>
    <x v="13"/>
    <m/>
    <m/>
    <e v="#N/A"/>
    <m/>
    <m/>
    <m/>
  </r>
  <r>
    <x v="14"/>
    <s v="PREPARAÇÃO"/>
    <s v="remoção das capas "/>
    <s v="Lohan"/>
    <n v="50"/>
    <m/>
    <n v="0"/>
  </r>
  <r>
    <x v="14"/>
    <s v="PREPARAÇÃO"/>
    <s v="revisão da estrutura "/>
    <s v="Lohan"/>
    <n v="30"/>
    <m/>
    <n v="0"/>
  </r>
  <r>
    <x v="14"/>
    <s v="PINTURA"/>
    <s v="reparo na estrutura com pintura"/>
    <s v="Paulique"/>
    <n v="30"/>
    <m/>
    <n v="0"/>
  </r>
  <r>
    <x v="14"/>
    <s v="PINTURA"/>
    <s v="Enviar peças metálicas desmontadas para pintura em Fornecedor Externo"/>
    <s v="Paulique"/>
    <n v="30"/>
    <m/>
    <n v="0"/>
  </r>
  <r>
    <x v="14"/>
    <s v="PREPARAÇÃO"/>
    <s v="Ajuste cabo de aço"/>
    <s v="Lohan"/>
    <n v="30"/>
    <m/>
    <n v="0"/>
  </r>
  <r>
    <x v="14"/>
    <s v="PREPARAÇÃO"/>
    <s v="Destravar engrenagens após pintura"/>
    <s v="Lohan"/>
    <n v="45"/>
    <m/>
    <n v="0"/>
  </r>
  <r>
    <x v="14"/>
    <s v="ESPUMA"/>
    <s v="Reparo de espuma"/>
    <s v="Kadu"/>
    <n v="60"/>
    <m/>
    <n v="0"/>
  </r>
  <r>
    <x v="14"/>
    <s v="ESPUMA"/>
    <s v="Aplicar espuma (assento e encosto)"/>
    <s v="Kadu"/>
    <n v="60"/>
    <m/>
    <n v="0"/>
  </r>
  <r>
    <x v="14"/>
    <s v="CORTE"/>
    <s v="corte do tecido com o molde Encosto/assento"/>
    <s v="Rita"/>
    <n v="60"/>
    <m/>
    <n v="0"/>
  </r>
  <r>
    <x v="14"/>
    <s v="CORTE"/>
    <s v="corte do tecido da cabeceira"/>
    <s v="Rita"/>
    <n v="30"/>
    <m/>
    <n v="0"/>
  </r>
  <r>
    <x v="14"/>
    <s v="COSTURA"/>
    <s v="costurar peças cortadas Encosto/Assento"/>
    <s v="Edna"/>
    <n v="240"/>
    <m/>
    <n v="0"/>
  </r>
  <r>
    <x v="14"/>
    <s v="COSTURA"/>
    <s v="Costurar cabeceira"/>
    <s v="Edna"/>
    <n v="30"/>
    <m/>
    <n v="0"/>
  </r>
  <r>
    <x v="14"/>
    <s v="PRÉ-MONTAGEM"/>
    <s v="Montagem do encosto"/>
    <s v="Kadu"/>
    <n v="40"/>
    <m/>
    <n v="0"/>
  </r>
  <r>
    <x v="14"/>
    <s v="PRÉ-MONTAGEM"/>
    <s v="Montagem do assento"/>
    <s v="Kadu"/>
    <n v="60"/>
    <m/>
    <n v="0"/>
  </r>
  <r>
    <x v="14"/>
    <s v="PRÉ-MONTAGEM"/>
    <s v="Montagem completa do Banco (base, chapa RECARO, acabamento laterais)"/>
    <s v="Kadu"/>
    <n v="90"/>
    <m/>
    <n v="0"/>
  </r>
  <r>
    <x v="14"/>
    <s v="PRÉ-MONTAGEM"/>
    <s v="Montagem do cabeceira"/>
    <s v="Kadu"/>
    <n v="90"/>
    <m/>
    <n v="0"/>
  </r>
  <r>
    <x v="14"/>
    <m/>
    <m/>
    <e v="#N/A"/>
    <m/>
    <m/>
    <m/>
  </r>
  <r>
    <x v="14"/>
    <m/>
    <m/>
    <e v="#N/A"/>
    <m/>
    <m/>
    <m/>
  </r>
  <r>
    <x v="14"/>
    <m/>
    <m/>
    <e v="#N/A"/>
    <m/>
    <m/>
    <m/>
  </r>
  <r>
    <x v="14"/>
    <m/>
    <m/>
    <e v="#N/A"/>
    <m/>
    <m/>
    <m/>
  </r>
  <r>
    <x v="14"/>
    <m/>
    <m/>
    <e v="#N/A"/>
    <m/>
    <m/>
    <m/>
  </r>
  <r>
    <x v="14"/>
    <m/>
    <m/>
    <e v="#N/A"/>
    <m/>
    <m/>
    <m/>
  </r>
  <r>
    <x v="14"/>
    <m/>
    <m/>
    <e v="#N/A"/>
    <m/>
    <m/>
    <m/>
  </r>
  <r>
    <x v="14"/>
    <m/>
    <m/>
    <e v="#N/A"/>
    <m/>
    <m/>
    <m/>
  </r>
  <r>
    <x v="15"/>
    <s v="PREPARAÇÃO"/>
    <s v="Remover revestimento"/>
    <s v="Nikolas"/>
    <n v="10"/>
    <m/>
    <n v="0"/>
  </r>
  <r>
    <x v="15"/>
    <s v="PREPARAÇÃO"/>
    <s v="Reparo volante (se necessário)"/>
    <s v="Nikolas"/>
    <n v="0"/>
    <m/>
    <m/>
  </r>
  <r>
    <x v="15"/>
    <s v="PREPARAÇÃO"/>
    <s v="Limpar"/>
    <s v="Nikolas"/>
    <n v="10"/>
    <m/>
    <n v="0"/>
  </r>
  <r>
    <x v="15"/>
    <s v="CORTE"/>
    <s v="Corte couro"/>
    <s v="Rita"/>
    <n v="40"/>
    <m/>
    <n v="0"/>
  </r>
  <r>
    <x v="15"/>
    <s v="CORTE"/>
    <s v="Perfilar couro para dar acabamento(manualmente)"/>
    <s v="Rita"/>
    <n v="70"/>
    <m/>
    <n v="0"/>
  </r>
  <r>
    <x v="15"/>
    <s v="APLICAÇÃO COLA"/>
    <s v="Aplicação cola e ajuste"/>
    <s v="Lohan"/>
    <n v="30"/>
    <m/>
    <n v="0"/>
  </r>
  <r>
    <x v="15"/>
    <s v="COSTURA"/>
    <s v="costura da borda  e Fechamento do volante"/>
    <s v="Edna"/>
    <n v="90"/>
    <m/>
    <n v="0"/>
  </r>
  <r>
    <x v="15"/>
    <m/>
    <m/>
    <e v="#N/A"/>
    <m/>
    <m/>
    <m/>
  </r>
  <r>
    <x v="15"/>
    <m/>
    <m/>
    <e v="#N/A"/>
    <m/>
    <m/>
    <m/>
  </r>
  <r>
    <x v="15"/>
    <m/>
    <m/>
    <e v="#N/A"/>
    <m/>
    <m/>
    <m/>
  </r>
  <r>
    <x v="15"/>
    <m/>
    <m/>
    <e v="#N/A"/>
    <m/>
    <m/>
    <m/>
  </r>
  <r>
    <x v="15"/>
    <m/>
    <m/>
    <e v="#N/A"/>
    <m/>
    <m/>
    <m/>
  </r>
  <r>
    <x v="15"/>
    <m/>
    <m/>
    <e v="#N/A"/>
    <m/>
    <m/>
    <m/>
  </r>
  <r>
    <x v="15"/>
    <m/>
    <m/>
    <e v="#N/A"/>
    <m/>
    <m/>
    <m/>
  </r>
  <r>
    <x v="16"/>
    <s v="PREPARAÇÃO"/>
    <s v="Remover carpe antigo do tampão"/>
    <s v="Nikolas"/>
    <n v="0"/>
    <m/>
    <m/>
  </r>
  <r>
    <x v="16"/>
    <s v="CORTE"/>
    <s v="Cortar Capete pelas medidas  infomadas padrão"/>
    <s v="Rita"/>
    <n v="15"/>
    <m/>
    <n v="0"/>
  </r>
  <r>
    <x v="16"/>
    <s v="APLICAÇÃO COLA"/>
    <s v="Aplicar cola de contato no tampao e no carpete"/>
    <s v="Lohan"/>
    <n v="15"/>
    <m/>
    <n v="0"/>
  </r>
  <r>
    <x v="16"/>
    <s v="COLAGEM"/>
    <s v="Iniciar a colagem do carpete no tampão"/>
    <s v="Gabriel"/>
    <n v="60"/>
    <m/>
    <n v="0"/>
  </r>
  <r>
    <x v="16"/>
    <s v="FINALIZAÇÃO"/>
    <s v="Após a colagem do carpete, fazer o recorte da sobras"/>
    <s v="Arthur"/>
    <n v="10"/>
    <m/>
    <n v="0"/>
  </r>
  <r>
    <x v="16"/>
    <s v="MONTAGEM"/>
    <s v="Colocar cordinha e batente"/>
    <s v="Arthur"/>
    <n v="10"/>
    <m/>
    <n v="0"/>
  </r>
  <r>
    <x v="16"/>
    <s v="MONTAGEM"/>
    <s v="Instalação do tampão no carro"/>
    <s v="Arthur"/>
    <n v="10"/>
    <m/>
    <n v="0"/>
  </r>
  <r>
    <x v="16"/>
    <m/>
    <m/>
    <e v="#N/A"/>
    <m/>
    <m/>
    <m/>
  </r>
  <r>
    <x v="16"/>
    <m/>
    <m/>
    <e v="#N/A"/>
    <m/>
    <m/>
    <m/>
  </r>
  <r>
    <x v="16"/>
    <m/>
    <m/>
    <e v="#N/A"/>
    <m/>
    <m/>
    <m/>
  </r>
  <r>
    <x v="16"/>
    <m/>
    <m/>
    <e v="#N/A"/>
    <m/>
    <m/>
    <m/>
  </r>
  <r>
    <x v="16"/>
    <m/>
    <m/>
    <e v="#N/A"/>
    <m/>
    <m/>
    <m/>
  </r>
  <r>
    <x v="16"/>
    <m/>
    <m/>
    <e v="#N/A"/>
    <m/>
    <m/>
    <m/>
  </r>
  <r>
    <x v="16"/>
    <m/>
    <m/>
    <e v="#N/A"/>
    <m/>
    <m/>
    <m/>
  </r>
  <r>
    <x v="17"/>
    <s v="MONTAGEM"/>
    <s v="Montar capa estepe"/>
    <s v="Arthur"/>
    <n v="20"/>
    <m/>
    <n v="0"/>
  </r>
  <r>
    <x v="17"/>
    <s v="MONTAGEM"/>
    <s v="Pintar tubo combustivel"/>
    <s v="Arthur"/>
    <n v="0"/>
    <m/>
    <m/>
  </r>
  <r>
    <x v="17"/>
    <s v="MONTAGEM"/>
    <s v="Montar laterais traseiras"/>
    <s v="Arthur"/>
    <n v="60"/>
    <m/>
    <n v="0"/>
  </r>
  <r>
    <x v="17"/>
    <s v="MONTAGEM"/>
    <s v="Instalar tampa porta malas"/>
    <s v="Arthur"/>
    <n v="20"/>
    <m/>
    <n v="0"/>
  </r>
  <r>
    <x v="17"/>
    <s v="MONTAGEM"/>
    <s v="Montar cristal nas portas dianteiras"/>
    <s v="Arthur"/>
    <n v="20"/>
    <m/>
    <n v="0"/>
  </r>
  <r>
    <x v="17"/>
    <s v="MONTAGEM"/>
    <s v="Montar Laterais dianteiras"/>
    <s v="Arthur"/>
    <n v="60"/>
    <m/>
    <n v="0"/>
  </r>
  <r>
    <x v="17"/>
    <s v="MONTAGEM"/>
    <s v="Montar Bancos traseiros"/>
    <s v="Arthur"/>
    <n v="30"/>
    <m/>
    <n v="0"/>
  </r>
  <r>
    <x v="17"/>
    <s v="MONTAGEM"/>
    <s v="Montar bancos dianteiros"/>
    <s v="Arthur"/>
    <n v="60"/>
    <m/>
    <n v="0"/>
  </r>
  <r>
    <x v="17"/>
    <s v="MONTAGEM"/>
    <s v="Montagem do Volante"/>
    <s v="Arthur"/>
    <n v="5"/>
    <m/>
    <n v="0"/>
  </r>
  <r>
    <x v="17"/>
    <s v="MONTAGEM"/>
    <s v="Montagem da Ombrera e Pestana"/>
    <s v="Arthur"/>
    <n v="15"/>
    <m/>
    <n v="0"/>
  </r>
  <r>
    <x v="17"/>
    <m/>
    <m/>
    <e v="#N/A"/>
    <m/>
    <m/>
    <m/>
  </r>
  <r>
    <x v="17"/>
    <m/>
    <m/>
    <e v="#N/A"/>
    <m/>
    <m/>
    <m/>
  </r>
  <r>
    <x v="17"/>
    <m/>
    <m/>
    <e v="#N/A"/>
    <m/>
    <m/>
    <m/>
  </r>
  <r>
    <x v="17"/>
    <m/>
    <m/>
    <e v="#N/A"/>
    <m/>
    <m/>
    <m/>
  </r>
  <r>
    <x v="17"/>
    <m/>
    <m/>
    <e v="#N/A"/>
    <m/>
    <m/>
    <m/>
  </r>
  <r>
    <x v="17"/>
    <m/>
    <m/>
    <e v="#N/A"/>
    <m/>
    <m/>
    <m/>
  </r>
  <r>
    <x v="17"/>
    <m/>
    <m/>
    <e v="#N/A"/>
    <m/>
    <m/>
    <m/>
  </r>
  <r>
    <x v="18"/>
    <s v="LIMPEZA"/>
    <s v="Limpeza dos vidros "/>
    <s v="Nikolas"/>
    <n v="5"/>
    <m/>
    <n v="0"/>
  </r>
  <r>
    <x v="18"/>
    <s v="LIMPEZA"/>
    <s v="aspiração do porta-malas"/>
    <s v="Nikolas"/>
    <n v="5"/>
    <m/>
    <n v="0"/>
  </r>
  <r>
    <x v="18"/>
    <s v="LIMPEZA"/>
    <s v="aspiração do tampão"/>
    <s v="Nikolas"/>
    <n v="5"/>
    <m/>
    <n v="0"/>
  </r>
  <r>
    <x v="18"/>
    <s v="LIMPEZA"/>
    <s v="limpeza do acabamento da tampa"/>
    <s v="Nikolas"/>
    <n v="5"/>
    <m/>
    <n v="0"/>
  </r>
  <r>
    <x v="18"/>
    <s v="LIMPEZA"/>
    <s v="aspiração dos bancos"/>
    <s v="Nikolas"/>
    <n v="10"/>
    <m/>
    <n v="0"/>
  </r>
  <r>
    <x v="18"/>
    <s v="LIMPEZA"/>
    <s v="aspiração do assoalho"/>
    <s v="Nikolas"/>
    <n v="10"/>
    <m/>
    <n v="0"/>
  </r>
  <r>
    <x v="18"/>
    <s v="LIMPEZA"/>
    <s v="limpeza do painel"/>
    <s v="Nikolas"/>
    <n v="5"/>
    <m/>
    <n v="0"/>
  </r>
  <r>
    <x v="18"/>
    <s v="LIMPEZA"/>
    <s v="limpeza do console"/>
    <s v="Nikolas"/>
    <n v="5"/>
    <m/>
    <n v="0"/>
  </r>
  <r>
    <x v="18"/>
    <s v="LIMPEZA"/>
    <s v="limpeza das pedaleiras "/>
    <s v="Nikolas"/>
    <n v="5"/>
    <m/>
    <n v="0"/>
  </r>
  <r>
    <x v="18"/>
    <s v="LIMPEZA"/>
    <s v="limpreza dos forros de portas (junto das ombreiras )"/>
    <s v="Nikolas"/>
    <n v="5"/>
    <m/>
    <n v="0"/>
  </r>
  <r>
    <x v="18"/>
    <m/>
    <m/>
    <e v="#N/A"/>
    <m/>
    <m/>
    <m/>
  </r>
  <r>
    <x v="18"/>
    <m/>
    <m/>
    <e v="#N/A"/>
    <m/>
    <m/>
    <m/>
  </r>
  <r>
    <x v="18"/>
    <m/>
    <m/>
    <e v="#N/A"/>
    <m/>
    <m/>
    <m/>
  </r>
  <r>
    <x v="18"/>
    <m/>
    <m/>
    <e v="#N/A"/>
    <m/>
    <m/>
    <m/>
  </r>
  <r>
    <x v="18"/>
    <m/>
    <m/>
    <e v="#N/A"/>
    <m/>
    <m/>
    <m/>
  </r>
  <r>
    <x v="19"/>
    <s v="QUALIDADE"/>
    <s v="Auditoria Fim de OS"/>
    <s v="Rapucci"/>
    <n v="15"/>
    <m/>
    <n v="0"/>
  </r>
  <r>
    <x v="2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D4236-1475-40BC-ABDD-DAF4CFF0A570}" name="Tabela dinâmica1" cacheId="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arefas" colHeaderCaption="Colaboradores">
  <location ref="E22:P37" firstHeaderRow="1" firstDataRow="2" firstDataCol="1"/>
  <pivotFields count="7">
    <pivotField axis="axisRow" showAll="0">
      <items count="22">
        <item x="0"/>
        <item x="2"/>
        <item x="3"/>
        <item x="4"/>
        <item x="5"/>
        <item x="6"/>
        <item x="7"/>
        <item x="8"/>
        <item x="9"/>
        <item x="10"/>
        <item x="11"/>
        <item m="1" x="14"/>
        <item m="1" x="15"/>
        <item m="1" x="20"/>
        <item x="12"/>
        <item x="13"/>
        <item m="1" x="19"/>
        <item m="1" x="18"/>
        <item m="1" x="16"/>
        <item m="1" x="17"/>
        <item h="1" x="1"/>
        <item t="default"/>
      </items>
    </pivotField>
    <pivotField showAll="0"/>
    <pivotField showAll="0"/>
    <pivotField axis="axisCol" showAll="0">
      <items count="20">
        <item x="1"/>
        <item x="7"/>
        <item x="8"/>
        <item x="9"/>
        <item x="6"/>
        <item m="1" x="13"/>
        <item m="1" x="14"/>
        <item m="1" x="18"/>
        <item x="0"/>
        <item m="1" x="17"/>
        <item m="1" x="16"/>
        <item m="1" x="15"/>
        <item x="5"/>
        <item x="2"/>
        <item x="10"/>
        <item m="1" x="11"/>
        <item m="1" x="12"/>
        <item x="3"/>
        <item x="4"/>
        <item t="default"/>
      </items>
    </pivotField>
    <pivotField showAll="0"/>
    <pivotField dataField="1" numFmtId="164" showAll="0"/>
    <pivotField dragToRow="0" dragToCol="0" dragToPage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8"/>
    </i>
    <i>
      <x v="12"/>
    </i>
    <i>
      <x v="13"/>
    </i>
    <i>
      <x v="14"/>
    </i>
    <i>
      <x v="17"/>
    </i>
    <i t="grand">
      <x/>
    </i>
  </colItems>
  <dataFields count="1">
    <dataField name="Distribuição" fld="5" baseField="0" baseItem="0" numFmtId="164"/>
  </dataFields>
  <formats count="22">
    <format dxfId="127">
      <pivotArea outline="0" collapsedLevelsAreSubtotals="1" fieldPosition="0"/>
    </format>
    <format dxfId="126">
      <pivotArea field="3" type="button" dataOnly="0" labelOnly="1" outline="0" axis="axisCol" fieldPosition="0"/>
    </format>
    <format dxfId="125">
      <pivotArea type="topRight" dataOnly="0" labelOnly="1" outline="0" fieldPosition="0"/>
    </format>
    <format dxfId="124">
      <pivotArea dataOnly="0" labelOnly="1" fieldPosition="0">
        <references count="1">
          <reference field="3" count="0"/>
        </references>
      </pivotArea>
    </format>
    <format dxfId="123">
      <pivotArea dataOnly="0" labelOnly="1" grandCol="1" outline="0" fieldPosition="0"/>
    </format>
    <format dxfId="122">
      <pivotArea outline="0" collapsedLevelsAreSubtotals="1" fieldPosition="0"/>
    </format>
    <format dxfId="121">
      <pivotArea field="3" type="button" dataOnly="0" labelOnly="1" outline="0" axis="axisCol" fieldPosition="0"/>
    </format>
    <format dxfId="120">
      <pivotArea type="topRight" dataOnly="0" labelOnly="1" outline="0" fieldPosition="0"/>
    </format>
    <format dxfId="119">
      <pivotArea dataOnly="0" labelOnly="1" fieldPosition="0">
        <references count="1">
          <reference field="3" count="0"/>
        </references>
      </pivotArea>
    </format>
    <format dxfId="118">
      <pivotArea dataOnly="0" labelOnly="1" grandCol="1" outline="0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type="origin" dataOnly="0" labelOnly="1" outline="0" fieldPosition="0"/>
    </format>
    <format dxfId="114">
      <pivotArea field="3" type="button" dataOnly="0" labelOnly="1" outline="0" axis="axisCol" fieldPosition="0"/>
    </format>
    <format dxfId="113">
      <pivotArea type="topRight" dataOnly="0" labelOnly="1" outline="0" fieldPosition="0"/>
    </format>
    <format dxfId="112">
      <pivotArea field="0" type="button" dataOnly="0" labelOnly="1" outline="0" axis="axisRow" fieldPosition="0"/>
    </format>
    <format dxfId="111">
      <pivotArea dataOnly="0" labelOnly="1" fieldPosition="0">
        <references count="1">
          <reference field="0" count="0"/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3" count="10">
            <x v="0"/>
            <x v="1"/>
            <x v="2"/>
            <x v="3"/>
            <x v="4"/>
            <x v="8"/>
            <x v="12"/>
            <x v="13"/>
            <x v="14"/>
            <x v="15"/>
          </reference>
        </references>
      </pivotArea>
    </format>
    <format dxfId="108">
      <pivotArea dataOnly="0" labelOnly="1" grandCol="1" outline="0" fieldPosition="0"/>
    </format>
    <format dxfId="107">
      <pivotArea outline="0" collapsedLevelsAreSubtotals="1" fieldPosition="0">
        <references count="1">
          <reference field="3" count="3" selected="0">
            <x v="8"/>
            <x v="12"/>
            <x v="13"/>
          </reference>
        </references>
      </pivotArea>
    </format>
    <format dxfId="106">
      <pivotArea dataOnly="0" labelOnly="1" fieldPosition="0">
        <references count="1">
          <reference field="3" count="3">
            <x v="8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5AC6F-3474-4450-839A-125B74724FAF}" name="Tabela dinâmica2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laborador">
  <location ref="E50:H62" firstHeaderRow="0" firstDataRow="1" firstDataCol="1"/>
  <pivotFields count="10">
    <pivotField showAll="0"/>
    <pivotField showAll="0"/>
    <pivotField showAll="0"/>
    <pivotField axis="axisRow" showAll="0">
      <items count="12">
        <item x="6"/>
        <item x="1"/>
        <item x="7"/>
        <item x="8"/>
        <item x="5"/>
        <item x="4"/>
        <item x="2"/>
        <item x="0"/>
        <item x="9"/>
        <item x="10"/>
        <item x="3"/>
        <item t="default"/>
      </items>
    </pivotField>
    <pivotField showAll="0"/>
    <pivotField showAll="0"/>
    <pivotField numFmtId="9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Hora Prevista" fld="7" baseField="0" baseItem="0" numFmtId="2"/>
    <dataField name="Hora Real" fld="8" baseField="0" baseItem="0" numFmtId="2"/>
    <dataField name="Eficiência" fld="9" baseField="0" baseItem="0" numFmtId="9"/>
  </dataFields>
  <formats count="20">
    <format dxfId="147">
      <pivotArea outline="0" collapsedLevelsAreSubtotals="1" fieldPosition="0"/>
    </format>
    <format dxfId="146">
      <pivotArea field="3" type="button" dataOnly="0" labelOnly="1" outline="0" axis="axisRow" fieldPosition="0"/>
    </format>
    <format dxfId="145">
      <pivotArea type="topRight" dataOnly="0" labelOnly="1" outline="0" fieldPosition="0"/>
    </format>
    <format dxfId="144">
      <pivotArea dataOnly="0" labelOnly="1" fieldPosition="0">
        <references count="1">
          <reference field="3" count="0"/>
        </references>
      </pivotArea>
    </format>
    <format dxfId="143">
      <pivotArea dataOnly="0" labelOnly="1" grandCol="1" outline="0" fieldPosition="0"/>
    </format>
    <format dxfId="142">
      <pivotArea outline="0" collapsedLevelsAreSubtotals="1" fieldPosition="0"/>
    </format>
    <format dxfId="141">
      <pivotArea field="3" type="button" dataOnly="0" labelOnly="1" outline="0" axis="axisRow" fieldPosition="0"/>
    </format>
    <format dxfId="140">
      <pivotArea type="topRight" dataOnly="0" labelOnly="1" outline="0" fieldPosition="0"/>
    </format>
    <format dxfId="139">
      <pivotArea dataOnly="0" labelOnly="1" fieldPosition="0">
        <references count="1">
          <reference field="3" count="0"/>
        </references>
      </pivotArea>
    </format>
    <format dxfId="138">
      <pivotArea dataOnly="0" labelOnly="1" grandCol="1" outline="0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3" type="button" dataOnly="0" labelOnly="1" outline="0" axis="axisRow" fieldPosition="0"/>
    </format>
    <format dxfId="134">
      <pivotArea dataOnly="0" labelOnly="1" fieldPosition="0">
        <references count="1">
          <reference field="3" count="0"/>
        </references>
      </pivotArea>
    </format>
    <format dxfId="133">
      <pivotArea dataOnly="0" labelOnly="1" grandRow="1" outline="0" fieldPosition="0"/>
    </format>
    <format dxfId="132">
      <pivotArea collapsedLevelsAreSubtotals="1" fieldPosition="0">
        <references count="1">
          <reference field="3" count="3">
            <x v="5"/>
            <x v="6"/>
            <x v="7"/>
          </reference>
        </references>
      </pivotArea>
    </format>
    <format dxfId="131">
      <pivotArea dataOnly="0" labelOnly="1" fieldPosition="0">
        <references count="1">
          <reference field="3" count="3">
            <x v="5"/>
            <x v="6"/>
            <x v="7"/>
          </reference>
        </references>
      </pivotArea>
    </format>
    <format dxfId="130">
      <pivotArea outline="0" collapsedLevelsAreSubtotals="1" fieldPosition="0"/>
    </format>
    <format dxfId="1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BA101-27E3-4297-A13A-F91154893D21}" name="Tabela dinâmica1" cacheId="1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24" firstHeaderRow="0" firstDataRow="1" firstDataCol="1"/>
  <pivotFields count="9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h="1"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H Real" fld="7" baseField="0" baseItem="0" numFmtId="164"/>
    <dataField name="Média de % Conclusão" fld="6" subtotal="average" baseField="0" baseItem="7" numFmtId="9"/>
    <dataField name="Média de Campo2" fld="8" subtotal="average" baseField="0" baseItem="3" numFmtId="9"/>
  </dataFields>
  <formats count="5">
    <format dxfId="10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3">
      <pivotArea outline="0" collapsedLevelsAreSubtotals="1" fieldPosition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BDA0B-39DC-40B7-ACBB-F0C02B062601}" name="Tabela1" displayName="Tabela1" ref="A1:F17" totalsRowShown="0">
  <autoFilter ref="A1:F17" xr:uid="{27ABDA0B-39DC-40B7-ACBB-F0C02B062601}"/>
  <tableColumns count="6">
    <tableColumn id="1" xr3:uid="{DE64230E-3055-4343-8D1C-BECEB866B385}" name="TAREFA"/>
    <tableColumn id="2" xr3:uid="{ADC1F813-DD24-437D-ACEE-EC13F2E23A2B}" name="SETOR"/>
    <tableColumn id="3" xr3:uid="{CC40FB63-1BF5-4C62-9251-EF6497D07616}" name="ATIVIDADE"/>
    <tableColumn id="4" xr3:uid="{4B21E2DF-D3F9-479E-8DB3-CA0DD6642491}" name="ATRIBUÍDO _x000a_PARA"/>
    <tableColumn id="5" xr3:uid="{7827768C-D212-471B-A0B0-F9E961A9EDA5}" name="Minutos"/>
    <tableColumn id="6" xr3:uid="{1B915097-AE7B-4550-B07C-310F1687A710}" name="Hor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0EE4-3D7B-427D-918A-108541B273C0}">
  <dimension ref="A1:F17"/>
  <sheetViews>
    <sheetView workbookViewId="0">
      <selection activeCell="E1" sqref="E1:E17"/>
    </sheetView>
  </sheetViews>
  <sheetFormatPr defaultRowHeight="14.25" x14ac:dyDescent="0.45"/>
  <cols>
    <col min="1" max="1" width="53.6640625" bestFit="1" customWidth="1"/>
    <col min="2" max="2" width="14.73046875" bestFit="1" customWidth="1"/>
    <col min="3" max="3" width="40.59765625" bestFit="1" customWidth="1"/>
    <col min="4" max="4" width="17" bestFit="1" customWidth="1"/>
    <col min="5" max="5" width="9.9296875" bestFit="1" customWidth="1"/>
    <col min="6" max="6" width="16.265625" customWidth="1"/>
  </cols>
  <sheetData>
    <row r="1" spans="1:6" x14ac:dyDescent="0.45">
      <c r="A1" t="s">
        <v>0</v>
      </c>
      <c r="B1" t="s">
        <v>173</v>
      </c>
      <c r="C1" t="s">
        <v>174</v>
      </c>
      <c r="D1" t="s">
        <v>1</v>
      </c>
      <c r="E1" t="s">
        <v>190</v>
      </c>
      <c r="F1" t="s">
        <v>191</v>
      </c>
    </row>
    <row r="2" spans="1:6" x14ac:dyDescent="0.45">
      <c r="A2" t="s">
        <v>11</v>
      </c>
      <c r="B2" t="s">
        <v>12</v>
      </c>
      <c r="C2" t="s">
        <v>13</v>
      </c>
      <c r="D2" t="s">
        <v>63</v>
      </c>
      <c r="E2">
        <v>25</v>
      </c>
      <c r="F2">
        <v>0.41666666666666669</v>
      </c>
    </row>
    <row r="3" spans="1:6" x14ac:dyDescent="0.45">
      <c r="A3" t="s">
        <v>14</v>
      </c>
      <c r="B3" t="s">
        <v>12</v>
      </c>
      <c r="C3" t="s">
        <v>169</v>
      </c>
      <c r="D3" t="s">
        <v>63</v>
      </c>
      <c r="E3">
        <v>90</v>
      </c>
      <c r="F3">
        <v>1.5</v>
      </c>
    </row>
    <row r="4" spans="1:6" x14ac:dyDescent="0.45">
      <c r="A4" t="s">
        <v>14</v>
      </c>
      <c r="B4" t="s">
        <v>12</v>
      </c>
      <c r="C4" t="s">
        <v>168</v>
      </c>
      <c r="D4" t="s">
        <v>63</v>
      </c>
      <c r="E4">
        <v>90</v>
      </c>
      <c r="F4">
        <v>1.5</v>
      </c>
    </row>
    <row r="5" spans="1:6" x14ac:dyDescent="0.45">
      <c r="A5" t="s">
        <v>14</v>
      </c>
      <c r="B5" t="s">
        <v>12</v>
      </c>
      <c r="C5" t="s">
        <v>20</v>
      </c>
      <c r="D5" t="s">
        <v>63</v>
      </c>
      <c r="E5">
        <v>60</v>
      </c>
      <c r="F5">
        <v>1</v>
      </c>
    </row>
    <row r="6" spans="1:6" x14ac:dyDescent="0.45">
      <c r="A6" t="s">
        <v>14</v>
      </c>
      <c r="B6" t="s">
        <v>12</v>
      </c>
      <c r="C6" t="s">
        <v>19</v>
      </c>
      <c r="D6" t="s">
        <v>63</v>
      </c>
      <c r="E6">
        <v>40</v>
      </c>
      <c r="F6">
        <v>0.66666666666666663</v>
      </c>
    </row>
    <row r="7" spans="1:6" x14ac:dyDescent="0.45">
      <c r="A7" t="s">
        <v>14</v>
      </c>
      <c r="B7" t="s">
        <v>17</v>
      </c>
      <c r="C7" t="s">
        <v>18</v>
      </c>
      <c r="D7" t="s">
        <v>63</v>
      </c>
      <c r="E7">
        <v>20</v>
      </c>
      <c r="F7">
        <v>0.33333333333333331</v>
      </c>
    </row>
    <row r="8" spans="1:6" x14ac:dyDescent="0.45">
      <c r="A8" t="s">
        <v>34</v>
      </c>
      <c r="B8" t="s">
        <v>12</v>
      </c>
      <c r="C8">
        <v>0</v>
      </c>
      <c r="D8" t="s">
        <v>63</v>
      </c>
      <c r="E8">
        <v>0</v>
      </c>
      <c r="F8">
        <v>0</v>
      </c>
    </row>
    <row r="9" spans="1:6" x14ac:dyDescent="0.45">
      <c r="A9" t="s">
        <v>34</v>
      </c>
      <c r="B9" t="s">
        <v>12</v>
      </c>
      <c r="C9">
        <v>0</v>
      </c>
      <c r="D9" t="s">
        <v>63</v>
      </c>
      <c r="E9">
        <v>0</v>
      </c>
      <c r="F9">
        <v>0</v>
      </c>
    </row>
    <row r="10" spans="1:6" x14ac:dyDescent="0.45">
      <c r="A10" t="s">
        <v>53</v>
      </c>
      <c r="B10" t="s">
        <v>17</v>
      </c>
      <c r="C10" t="s">
        <v>58</v>
      </c>
      <c r="D10" t="s">
        <v>63</v>
      </c>
      <c r="E10">
        <v>15</v>
      </c>
      <c r="F10">
        <v>0.25</v>
      </c>
    </row>
    <row r="11" spans="1:6" x14ac:dyDescent="0.45">
      <c r="A11" t="s">
        <v>53</v>
      </c>
      <c r="B11" t="s">
        <v>12</v>
      </c>
      <c r="C11" t="s">
        <v>56</v>
      </c>
      <c r="D11" t="s">
        <v>63</v>
      </c>
      <c r="E11">
        <v>15</v>
      </c>
      <c r="F11">
        <v>0.25</v>
      </c>
    </row>
    <row r="12" spans="1:6" x14ac:dyDescent="0.45">
      <c r="A12" t="s">
        <v>53</v>
      </c>
      <c r="B12" t="s">
        <v>12</v>
      </c>
      <c r="C12" t="s">
        <v>55</v>
      </c>
      <c r="D12" t="s">
        <v>63</v>
      </c>
      <c r="E12">
        <v>60</v>
      </c>
      <c r="F12">
        <v>1</v>
      </c>
    </row>
    <row r="13" spans="1:6" x14ac:dyDescent="0.45">
      <c r="A13" t="s">
        <v>53</v>
      </c>
      <c r="B13" t="s">
        <v>3</v>
      </c>
      <c r="C13" t="s">
        <v>54</v>
      </c>
      <c r="D13" t="s">
        <v>63</v>
      </c>
      <c r="E13">
        <v>10</v>
      </c>
      <c r="F13">
        <v>0.16666666666666666</v>
      </c>
    </row>
    <row r="14" spans="1:6" x14ac:dyDescent="0.45">
      <c r="A14" t="s">
        <v>61</v>
      </c>
      <c r="B14" t="s">
        <v>12</v>
      </c>
      <c r="C14" t="s">
        <v>65</v>
      </c>
      <c r="D14" t="s">
        <v>63</v>
      </c>
      <c r="E14">
        <v>10</v>
      </c>
      <c r="F14">
        <v>0.16666666666666666</v>
      </c>
    </row>
    <row r="15" spans="1:6" x14ac:dyDescent="0.45">
      <c r="A15" t="s">
        <v>61</v>
      </c>
      <c r="B15" t="s">
        <v>12</v>
      </c>
      <c r="C15" t="s">
        <v>56</v>
      </c>
      <c r="D15" t="s">
        <v>63</v>
      </c>
      <c r="E15">
        <v>10</v>
      </c>
      <c r="F15">
        <v>0.16666666666666666</v>
      </c>
    </row>
    <row r="16" spans="1:6" x14ac:dyDescent="0.45">
      <c r="A16" t="s">
        <v>61</v>
      </c>
      <c r="B16" t="s">
        <v>12</v>
      </c>
      <c r="C16" t="s">
        <v>64</v>
      </c>
      <c r="D16" t="s">
        <v>63</v>
      </c>
      <c r="E16">
        <v>160</v>
      </c>
      <c r="F16">
        <v>2.6666666666666665</v>
      </c>
    </row>
    <row r="17" spans="1:6" x14ac:dyDescent="0.45">
      <c r="A17" t="s">
        <v>61</v>
      </c>
      <c r="B17" t="s">
        <v>12</v>
      </c>
      <c r="C17" t="s">
        <v>62</v>
      </c>
      <c r="D17" t="s">
        <v>63</v>
      </c>
      <c r="E17">
        <v>10</v>
      </c>
      <c r="F17">
        <v>0.16666666666666666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2B0E-3D57-4D82-85B0-D878A1640D95}">
  <sheetPr>
    <tabColor theme="3" tint="0.249977111117893"/>
  </sheetPr>
  <dimension ref="A1:Z78"/>
  <sheetViews>
    <sheetView showGridLines="0" topLeftCell="A27" zoomScale="130" zoomScaleNormal="130" workbookViewId="0">
      <selection activeCell="A33" sqref="A33"/>
    </sheetView>
  </sheetViews>
  <sheetFormatPr defaultRowHeight="14.25" x14ac:dyDescent="0.45"/>
  <cols>
    <col min="1" max="1" width="11.265625" customWidth="1"/>
    <col min="2" max="2" width="49.6640625" customWidth="1"/>
    <col min="3" max="3" width="18.33203125" bestFit="1" customWidth="1"/>
    <col min="4" max="4" width="7.59765625" customWidth="1"/>
    <col min="5" max="5" width="62.33203125" bestFit="1" customWidth="1"/>
    <col min="6" max="6" width="23.53125" bestFit="1" customWidth="1"/>
    <col min="7" max="7" width="9.265625" style="7" bestFit="1" customWidth="1"/>
    <col min="8" max="8" width="8.06640625" style="6" bestFit="1" customWidth="1"/>
    <col min="9" max="9" width="6.86328125" style="6" bestFit="1" customWidth="1"/>
    <col min="10" max="10" width="5.796875" style="6" bestFit="1" customWidth="1"/>
    <col min="11" max="11" width="7.1328125" style="6" bestFit="1" customWidth="1"/>
    <col min="12" max="12" width="8.19921875" style="6" bestFit="1" customWidth="1"/>
    <col min="13" max="13" width="9.265625" style="6" bestFit="1" customWidth="1"/>
    <col min="14" max="14" width="10.86328125" style="6" bestFit="1" customWidth="1"/>
    <col min="15" max="15" width="15.6640625" style="6" bestFit="1" customWidth="1"/>
    <col min="16" max="16" width="13.265625" style="6" bestFit="1" customWidth="1"/>
    <col min="17" max="17" width="9.9296875" style="6" bestFit="1" customWidth="1"/>
    <col min="18" max="18" width="13.265625" style="6" bestFit="1" customWidth="1"/>
    <col min="19" max="20" width="9.9296875" style="7" bestFit="1" customWidth="1"/>
    <col min="21" max="21" width="14.46484375" bestFit="1" customWidth="1"/>
    <col min="22" max="22" width="13.53125" bestFit="1" customWidth="1"/>
    <col min="23" max="23" width="14.46484375" bestFit="1" customWidth="1"/>
    <col min="24" max="24" width="13.53125" bestFit="1" customWidth="1"/>
    <col min="25" max="25" width="14.46484375" bestFit="1" customWidth="1"/>
    <col min="26" max="26" width="13.53125" bestFit="1" customWidth="1"/>
    <col min="27" max="27" width="14.46484375" bestFit="1" customWidth="1"/>
    <col min="28" max="28" width="18.19921875" bestFit="1" customWidth="1"/>
    <col min="29" max="29" width="19.1328125" bestFit="1" customWidth="1"/>
  </cols>
  <sheetData>
    <row r="1" spans="1:18" ht="57.75" customHeight="1" thickBot="1" x14ac:dyDescent="0.5">
      <c r="A1" s="71" t="s">
        <v>229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1:18" ht="10.9" customHeight="1" thickTop="1" x14ac:dyDescent="1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8" ht="31.9" x14ac:dyDescent="1">
      <c r="B3" s="61" t="s">
        <v>203</v>
      </c>
      <c r="C3" s="68">
        <v>7945</v>
      </c>
    </row>
    <row r="4" spans="1:18" ht="5" customHeight="1" x14ac:dyDescent="0.45">
      <c r="H4" s="19"/>
      <c r="I4" s="13"/>
    </row>
    <row r="5" spans="1:18" ht="21" x14ac:dyDescent="0.45">
      <c r="B5" s="60" t="s">
        <v>225</v>
      </c>
      <c r="C5" s="62" t="s">
        <v>230</v>
      </c>
      <c r="E5" s="40" t="s">
        <v>206</v>
      </c>
      <c r="F5" s="63">
        <v>45544</v>
      </c>
    </row>
    <row r="6" spans="1:18" ht="5" customHeight="1" x14ac:dyDescent="0.45">
      <c r="B6" s="60"/>
      <c r="C6" s="63"/>
      <c r="G6" s="6"/>
    </row>
    <row r="7" spans="1:18" ht="18" x14ac:dyDescent="0.45">
      <c r="B7" s="41" t="s">
        <v>204</v>
      </c>
      <c r="C7" s="64" t="s">
        <v>189</v>
      </c>
      <c r="F7" s="7"/>
      <c r="G7" s="6"/>
    </row>
    <row r="8" spans="1:18" ht="5" customHeight="1" x14ac:dyDescent="0.55000000000000004">
      <c r="B8" s="41"/>
      <c r="C8" s="65"/>
      <c r="G8" s="1"/>
    </row>
    <row r="9" spans="1:18" ht="18" x14ac:dyDescent="0.45">
      <c r="B9" s="66" t="s">
        <v>205</v>
      </c>
      <c r="C9" s="63">
        <v>45544</v>
      </c>
      <c r="F9" s="41" t="s">
        <v>227</v>
      </c>
      <c r="G9" s="42">
        <f>GETPIVOTDATA("Horas",$E$22)</f>
        <v>57.416666666666657</v>
      </c>
    </row>
    <row r="10" spans="1:18" ht="5" customHeight="1" x14ac:dyDescent="0.45">
      <c r="B10" s="66"/>
      <c r="C10" s="63"/>
      <c r="F10" s="41"/>
      <c r="G10" s="42"/>
    </row>
    <row r="11" spans="1:18" ht="18" x14ac:dyDescent="0.45">
      <c r="B11" s="41" t="s">
        <v>211</v>
      </c>
      <c r="C11" s="63">
        <v>45569</v>
      </c>
      <c r="F11" s="41" t="s">
        <v>207</v>
      </c>
      <c r="G11" s="42">
        <f>GETPIVOTDATA("H Real",'PRG02'!$A$3)</f>
        <v>10.916666666666666</v>
      </c>
    </row>
    <row r="12" spans="1:18" ht="5" customHeight="1" x14ac:dyDescent="0.45">
      <c r="B12" s="41"/>
      <c r="C12" s="63"/>
      <c r="F12" s="41"/>
      <c r="G12" s="42"/>
    </row>
    <row r="13" spans="1:18" ht="18" x14ac:dyDescent="0.45">
      <c r="B13" s="41" t="s">
        <v>208</v>
      </c>
      <c r="C13" s="39">
        <f ca="1">C11-(TODAY())</f>
        <v>-1</v>
      </c>
      <c r="F13" s="41" t="s">
        <v>228</v>
      </c>
      <c r="G13" s="42">
        <f>G9-G11</f>
        <v>46.499999999999993</v>
      </c>
    </row>
    <row r="14" spans="1:18" ht="5" customHeight="1" x14ac:dyDescent="0.55000000000000004">
      <c r="A14" s="20"/>
      <c r="B14" s="17"/>
      <c r="F14" s="43"/>
      <c r="G14" s="39"/>
    </row>
    <row r="15" spans="1:18" ht="18" x14ac:dyDescent="0.45">
      <c r="F15" s="41" t="s">
        <v>218</v>
      </c>
      <c r="G15" s="44">
        <f>AVERAGE(C23:C42)</f>
        <v>9.4375000000000001E-2</v>
      </c>
    </row>
    <row r="16" spans="1:18" ht="5" customHeight="1" x14ac:dyDescent="0.45">
      <c r="A16" s="20"/>
      <c r="B16" s="18"/>
      <c r="F16" s="41"/>
      <c r="G16" s="39"/>
    </row>
    <row r="17" spans="1:26" ht="18" x14ac:dyDescent="0.45">
      <c r="F17" s="41" t="s">
        <v>209</v>
      </c>
      <c r="G17" s="44">
        <f>GETPIVOTDATA("Média de Campo2",'PRG02'!$A$3)</f>
        <v>0.1380400421496312</v>
      </c>
    </row>
    <row r="18" spans="1:26" ht="5" customHeight="1" x14ac:dyDescent="0.55000000000000004">
      <c r="G18"/>
      <c r="H18" s="14"/>
      <c r="I18" s="15"/>
    </row>
    <row r="19" spans="1:26" ht="18" x14ac:dyDescent="0.45">
      <c r="F19" s="41" t="s">
        <v>226</v>
      </c>
      <c r="G19" s="44">
        <f>(G9-G11)/G9</f>
        <v>0.80986937590711172</v>
      </c>
    </row>
    <row r="20" spans="1:26" ht="5" customHeight="1" x14ac:dyDescent="0.45">
      <c r="Z20" s="2"/>
    </row>
    <row r="21" spans="1:26" ht="23.25" x14ac:dyDescent="0.7">
      <c r="A21" s="70" t="s">
        <v>212</v>
      </c>
      <c r="B21" s="70"/>
      <c r="E21" t="s">
        <v>222</v>
      </c>
    </row>
    <row r="22" spans="1:26" ht="24.85" customHeight="1" x14ac:dyDescent="0.45">
      <c r="C22" s="1" t="s">
        <v>223</v>
      </c>
      <c r="E22" s="4" t="s">
        <v>200</v>
      </c>
      <c r="F22" s="5" t="s">
        <v>199</v>
      </c>
      <c r="G22" s="6"/>
      <c r="Q22"/>
      <c r="R22"/>
      <c r="S22"/>
      <c r="T22"/>
    </row>
    <row r="23" spans="1:26" ht="24.85" customHeight="1" x14ac:dyDescent="0.45">
      <c r="A23" s="67" t="s">
        <v>178</v>
      </c>
      <c r="B23" s="48" t="s">
        <v>2</v>
      </c>
      <c r="C23" s="55">
        <f>GETPIVOTDATA("Média de % Conclusão",'PRG02'!$A$3,"TAREFA","1 - RETIRADA DE PEÇAS DO VEÍCULO/BALCÃO")</f>
        <v>0.88749999999999996</v>
      </c>
      <c r="D23" s="23" t="str">
        <f t="shared" ref="D23:D42" si="0">IF(A23="x",B23,0)</f>
        <v>1 - RETIRADA DE PEÇAS DO VEÍCULO/BALCÃO</v>
      </c>
      <c r="E23" s="4" t="s">
        <v>198</v>
      </c>
      <c r="F23" s="6" t="s">
        <v>183</v>
      </c>
      <c r="G23" s="6" t="s">
        <v>69</v>
      </c>
      <c r="H23" s="6" t="s">
        <v>182</v>
      </c>
      <c r="I23" s="6" t="s">
        <v>109</v>
      </c>
      <c r="J23" s="6" t="s">
        <v>184</v>
      </c>
      <c r="K23" s="10" t="s">
        <v>181</v>
      </c>
      <c r="L23" s="10" t="s">
        <v>63</v>
      </c>
      <c r="M23" s="10" t="s">
        <v>73</v>
      </c>
      <c r="N23" s="6" t="s">
        <v>189</v>
      </c>
      <c r="O23" s="6" t="s">
        <v>231</v>
      </c>
      <c r="P23" s="6" t="s">
        <v>179</v>
      </c>
      <c r="Q23"/>
      <c r="R23"/>
      <c r="S23"/>
      <c r="T23"/>
    </row>
    <row r="24" spans="1:26" ht="24.85" customHeight="1" x14ac:dyDescent="0.45">
      <c r="A24" s="67" t="s">
        <v>178</v>
      </c>
      <c r="B24" s="49" t="s">
        <v>11</v>
      </c>
      <c r="C24" s="55">
        <f>GETPIVOTDATA("Média de % Conclusão",'PRG02'!$A$3,"TAREFA","2 - LIMPEZA INICIAL")</f>
        <v>1</v>
      </c>
      <c r="D24" s="23" t="str">
        <f t="shared" si="0"/>
        <v>2 - LIMPEZA INICIAL</v>
      </c>
      <c r="E24" s="8" t="s">
        <v>2</v>
      </c>
      <c r="F24" s="9">
        <v>0.25</v>
      </c>
      <c r="G24" s="9"/>
      <c r="H24" s="9"/>
      <c r="I24" s="9"/>
      <c r="J24" s="9"/>
      <c r="K24" s="69">
        <v>0.74999999999999989</v>
      </c>
      <c r="L24" s="69"/>
      <c r="M24" s="69">
        <v>2.4166666666666665</v>
      </c>
      <c r="N24" s="9"/>
      <c r="O24" s="9">
        <v>0</v>
      </c>
      <c r="P24" s="9">
        <v>3.4166666666666665</v>
      </c>
      <c r="Q24"/>
      <c r="R24"/>
      <c r="S24"/>
      <c r="T24"/>
    </row>
    <row r="25" spans="1:26" ht="24.85" customHeight="1" x14ac:dyDescent="0.45">
      <c r="A25" s="67" t="s">
        <v>178</v>
      </c>
      <c r="B25" s="49" t="s">
        <v>14</v>
      </c>
      <c r="C25" s="55">
        <f>GETPIVOTDATA("Média de % Conclusão",'PRG02'!$A$3,"TAREFA","3 - ISOLANTE OU FELTRO")</f>
        <v>0</v>
      </c>
      <c r="D25" s="23" t="str">
        <f t="shared" si="0"/>
        <v>3 - ISOLANTE OU FELTRO</v>
      </c>
      <c r="E25" s="8" t="s">
        <v>11</v>
      </c>
      <c r="F25" s="9"/>
      <c r="G25" s="9"/>
      <c r="H25" s="9"/>
      <c r="I25" s="9"/>
      <c r="J25" s="9"/>
      <c r="K25" s="69"/>
      <c r="L25" s="69">
        <v>0.41666666666666669</v>
      </c>
      <c r="M25" s="69"/>
      <c r="N25" s="9"/>
      <c r="O25" s="9">
        <v>0</v>
      </c>
      <c r="P25" s="9">
        <v>0.41666666666666669</v>
      </c>
      <c r="Q25"/>
      <c r="R25"/>
      <c r="S25"/>
      <c r="T25"/>
    </row>
    <row r="26" spans="1:26" ht="24.85" customHeight="1" x14ac:dyDescent="0.45">
      <c r="A26" s="67" t="s">
        <v>178</v>
      </c>
      <c r="B26" s="49" t="s">
        <v>21</v>
      </c>
      <c r="C26" s="55">
        <f>GETPIVOTDATA("Média de % Conclusão",'PRG02'!$A$3,"TAREFA","4 - TETO")</f>
        <v>0</v>
      </c>
      <c r="D26" s="23" t="str">
        <f t="shared" si="0"/>
        <v>4 - TETO</v>
      </c>
      <c r="E26" s="8" t="s">
        <v>14</v>
      </c>
      <c r="F26" s="9"/>
      <c r="G26" s="9"/>
      <c r="H26" s="9"/>
      <c r="I26" s="9"/>
      <c r="J26" s="9">
        <v>0.75</v>
      </c>
      <c r="K26" s="69"/>
      <c r="L26" s="69">
        <v>5</v>
      </c>
      <c r="M26" s="69"/>
      <c r="N26" s="9"/>
      <c r="O26" s="9">
        <v>0</v>
      </c>
      <c r="P26" s="9">
        <v>5.75</v>
      </c>
      <c r="Q26"/>
      <c r="R26"/>
      <c r="S26"/>
      <c r="T26"/>
    </row>
    <row r="27" spans="1:26" ht="24.85" customHeight="1" x14ac:dyDescent="0.45">
      <c r="A27" s="67" t="s">
        <v>178</v>
      </c>
      <c r="B27" s="49" t="s">
        <v>31</v>
      </c>
      <c r="C27" s="55">
        <f>GETPIVOTDATA("Média de % Conclusão",'PRG02'!$A$3,"TAREFA","5 - CINTOS")</f>
        <v>0</v>
      </c>
      <c r="D27" s="23" t="str">
        <f t="shared" si="0"/>
        <v>5 - CINTOS</v>
      </c>
      <c r="E27" s="8" t="s">
        <v>21</v>
      </c>
      <c r="F27" s="9"/>
      <c r="G27" s="9">
        <v>1.3333333333333333</v>
      </c>
      <c r="H27" s="9">
        <v>1.3333333333333333</v>
      </c>
      <c r="I27" s="9"/>
      <c r="J27" s="9">
        <v>0.25</v>
      </c>
      <c r="K27" s="69"/>
      <c r="L27" s="69"/>
      <c r="M27" s="69">
        <v>6.833333333333333</v>
      </c>
      <c r="N27" s="9"/>
      <c r="O27" s="9">
        <v>0</v>
      </c>
      <c r="P27" s="9">
        <v>9.75</v>
      </c>
      <c r="Q27"/>
      <c r="R27"/>
      <c r="S27"/>
      <c r="T27"/>
    </row>
    <row r="28" spans="1:26" ht="24.85" customHeight="1" x14ac:dyDescent="0.45">
      <c r="A28" s="67" t="s">
        <v>178</v>
      </c>
      <c r="B28" s="49" t="s">
        <v>34</v>
      </c>
      <c r="C28" s="55">
        <f>GETPIVOTDATA("Média de % Conclusão",'PRG02'!$A$3,"TAREFA","6 -  CARPETE / ASSOALHO    ( NOVO ? / MOLDADO ? / PORSCHE ?)")</f>
        <v>0</v>
      </c>
      <c r="D28" s="23" t="str">
        <f t="shared" si="0"/>
        <v>6 -  CARPETE / ASSOALHO    ( NOVO ? / MOLDADO ? / PORSCHE ?)</v>
      </c>
      <c r="E28" s="8" t="s">
        <v>31</v>
      </c>
      <c r="F28" s="9"/>
      <c r="G28" s="9"/>
      <c r="H28" s="9">
        <v>0.41666666666666663</v>
      </c>
      <c r="I28" s="9"/>
      <c r="J28" s="9"/>
      <c r="K28" s="69"/>
      <c r="L28" s="69"/>
      <c r="M28" s="69"/>
      <c r="N28" s="9"/>
      <c r="O28" s="9">
        <v>0</v>
      </c>
      <c r="P28" s="9">
        <v>0.41666666666666663</v>
      </c>
      <c r="Q28"/>
      <c r="R28"/>
      <c r="S28"/>
      <c r="T28"/>
    </row>
    <row r="29" spans="1:26" ht="24.85" customHeight="1" x14ac:dyDescent="0.45">
      <c r="A29" s="67" t="s">
        <v>178</v>
      </c>
      <c r="B29" s="49" t="s">
        <v>37</v>
      </c>
      <c r="C29" s="55">
        <f>GETPIVOTDATA("Média de % Conclusão",'PRG02'!$A$3,"TAREFA","7 - CONSOLE CENTRAL + PEÇAS")</f>
        <v>0</v>
      </c>
      <c r="D29" s="23" t="str">
        <f t="shared" si="0"/>
        <v>7 - CONSOLE CENTRAL + PEÇAS</v>
      </c>
      <c r="E29" s="8" t="s">
        <v>34</v>
      </c>
      <c r="F29" s="9"/>
      <c r="G29" s="9"/>
      <c r="H29" s="9">
        <v>1</v>
      </c>
      <c r="I29" s="9">
        <v>0</v>
      </c>
      <c r="J29" s="9"/>
      <c r="K29" s="69"/>
      <c r="L29" s="69">
        <v>0</v>
      </c>
      <c r="M29" s="69"/>
      <c r="N29" s="9"/>
      <c r="O29" s="9">
        <v>0</v>
      </c>
      <c r="P29" s="9">
        <v>1</v>
      </c>
      <c r="Q29"/>
      <c r="R29"/>
      <c r="S29"/>
      <c r="T29"/>
    </row>
    <row r="30" spans="1:26" ht="24.85" customHeight="1" x14ac:dyDescent="0.45">
      <c r="A30" s="67" t="s">
        <v>178</v>
      </c>
      <c r="B30" s="49" t="s">
        <v>41</v>
      </c>
      <c r="C30" s="55">
        <f>GETPIVOTDATA("Média de % Conclusão",'PRG02'!$A$3,"TAREFA","8 - PORTA MALAS")</f>
        <v>0</v>
      </c>
      <c r="D30" s="23" t="str">
        <f t="shared" si="0"/>
        <v>8 - PORTA MALAS</v>
      </c>
      <c r="E30" s="8" t="s">
        <v>37</v>
      </c>
      <c r="F30" s="9"/>
      <c r="G30" s="9"/>
      <c r="H30" s="9">
        <v>0.33333333333333331</v>
      </c>
      <c r="I30" s="9"/>
      <c r="J30" s="9"/>
      <c r="K30" s="69"/>
      <c r="L30" s="69"/>
      <c r="M30" s="69"/>
      <c r="N30" s="9"/>
      <c r="O30" s="9">
        <v>0</v>
      </c>
      <c r="P30" s="9">
        <v>0.33333333333333331</v>
      </c>
      <c r="Q30"/>
      <c r="R30"/>
      <c r="S30"/>
      <c r="T30"/>
    </row>
    <row r="31" spans="1:26" ht="24.85" customHeight="1" x14ac:dyDescent="0.45">
      <c r="A31" s="67" t="s">
        <v>178</v>
      </c>
      <c r="B31" s="49" t="s">
        <v>53</v>
      </c>
      <c r="C31" s="55">
        <f>GETPIVOTDATA("Média de % Conclusão",'PRG02'!$A$3,"TAREFA","9 - TAMPA TRASEIRA")</f>
        <v>0</v>
      </c>
      <c r="D31" s="23" t="str">
        <f t="shared" si="0"/>
        <v>9 - TAMPA TRASEIRA</v>
      </c>
      <c r="E31" s="8" t="s">
        <v>41</v>
      </c>
      <c r="F31" s="9"/>
      <c r="G31" s="9">
        <v>0.66666666666666663</v>
      </c>
      <c r="H31" s="9">
        <v>1.8333333333333335</v>
      </c>
      <c r="I31" s="9"/>
      <c r="J31" s="9">
        <v>0.5</v>
      </c>
      <c r="K31" s="69">
        <v>8.3333333333333329E-2</v>
      </c>
      <c r="L31" s="69"/>
      <c r="M31" s="69"/>
      <c r="N31" s="9"/>
      <c r="O31" s="9">
        <v>0</v>
      </c>
      <c r="P31" s="9">
        <v>3.0833333333333335</v>
      </c>
      <c r="Q31"/>
      <c r="R31"/>
      <c r="S31"/>
      <c r="T31"/>
    </row>
    <row r="32" spans="1:26" ht="24.85" customHeight="1" x14ac:dyDescent="0.45">
      <c r="A32" s="67" t="s">
        <v>178</v>
      </c>
      <c r="B32" s="49" t="s">
        <v>61</v>
      </c>
      <c r="C32" s="55">
        <f>GETPIVOTDATA("Média de % Conclusão",'PRG02'!$A$3,"TAREFA","10 - LATERAIS TRASEIRAS")</f>
        <v>0</v>
      </c>
      <c r="D32" s="23" t="str">
        <f t="shared" si="0"/>
        <v>10 - LATERAIS TRASEIRAS</v>
      </c>
      <c r="E32" s="8" t="s">
        <v>53</v>
      </c>
      <c r="F32" s="9"/>
      <c r="G32" s="9">
        <v>0.66666666666666663</v>
      </c>
      <c r="H32" s="9"/>
      <c r="I32" s="9"/>
      <c r="J32" s="9">
        <v>0.16666666666666666</v>
      </c>
      <c r="K32" s="69">
        <v>0.33333333333333331</v>
      </c>
      <c r="L32" s="69">
        <v>1.6666666666666667</v>
      </c>
      <c r="M32" s="69"/>
      <c r="N32" s="9"/>
      <c r="O32" s="9">
        <v>0</v>
      </c>
      <c r="P32" s="9">
        <v>2.833333333333333</v>
      </c>
      <c r="Q32"/>
      <c r="R32"/>
      <c r="S32"/>
      <c r="T32"/>
    </row>
    <row r="33" spans="1:26" ht="24.85" customHeight="1" x14ac:dyDescent="0.45">
      <c r="A33" s="67" t="s">
        <v>178</v>
      </c>
      <c r="B33" s="49" t="s">
        <v>71</v>
      </c>
      <c r="C33" s="55">
        <f>GETPIVOTDATA("Média de % Conclusão",'PRG02'!$A$3,"TAREFA","11 - OMBREIRA")</f>
        <v>0</v>
      </c>
      <c r="D33" s="23" t="str">
        <f t="shared" si="0"/>
        <v>11 - OMBREIRA</v>
      </c>
      <c r="E33" s="8" t="s">
        <v>61</v>
      </c>
      <c r="F33" s="9"/>
      <c r="G33" s="9">
        <v>1</v>
      </c>
      <c r="H33" s="9"/>
      <c r="I33" s="9"/>
      <c r="J33" s="9">
        <v>0.25</v>
      </c>
      <c r="K33" s="69">
        <v>0.66666666666666663</v>
      </c>
      <c r="L33" s="69">
        <v>3.1666666666666665</v>
      </c>
      <c r="M33" s="69"/>
      <c r="N33" s="9"/>
      <c r="O33" s="9">
        <v>0</v>
      </c>
      <c r="P33" s="9">
        <v>5.083333333333333</v>
      </c>
      <c r="Q33"/>
      <c r="R33"/>
      <c r="S33"/>
      <c r="T33"/>
    </row>
    <row r="34" spans="1:26" ht="24.85" customHeight="1" x14ac:dyDescent="0.45">
      <c r="A34" s="67"/>
      <c r="B34" s="49" t="s">
        <v>79</v>
      </c>
      <c r="C34" s="55">
        <f>GETPIVOTDATA("Média de % Conclusão",'PRG02'!$A$3,"TAREFA","12 - FORROS DE PORTAS")</f>
        <v>0</v>
      </c>
      <c r="D34" s="23">
        <f t="shared" si="0"/>
        <v>0</v>
      </c>
      <c r="E34" s="8" t="s">
        <v>71</v>
      </c>
      <c r="F34" s="9"/>
      <c r="G34" s="9">
        <v>0.91666666666666674</v>
      </c>
      <c r="H34" s="9">
        <v>1.5</v>
      </c>
      <c r="I34" s="9"/>
      <c r="J34" s="9">
        <v>0.16666666666666666</v>
      </c>
      <c r="K34" s="69"/>
      <c r="L34" s="69"/>
      <c r="M34" s="69">
        <v>2.333333333333333</v>
      </c>
      <c r="N34" s="9"/>
      <c r="O34" s="9">
        <v>0</v>
      </c>
      <c r="P34" s="9">
        <v>4.9166666666666661</v>
      </c>
      <c r="Q34"/>
      <c r="R34"/>
      <c r="S34"/>
      <c r="T34"/>
    </row>
    <row r="35" spans="1:26" ht="24.85" customHeight="1" x14ac:dyDescent="0.45">
      <c r="A35" s="67"/>
      <c r="B35" s="49" t="s">
        <v>94</v>
      </c>
      <c r="C35" s="55">
        <f>GETPIVOTDATA("Média de % Conclusão",'PRG02'!$A$3,"TAREFA","13 - ACABAMENTOS")</f>
        <v>0</v>
      </c>
      <c r="D35" s="23">
        <f t="shared" si="0"/>
        <v>0</v>
      </c>
      <c r="E35" s="8" t="s">
        <v>116</v>
      </c>
      <c r="F35" s="9"/>
      <c r="G35" s="9"/>
      <c r="H35" s="9"/>
      <c r="I35" s="9">
        <v>4.5</v>
      </c>
      <c r="J35" s="9">
        <v>1.5</v>
      </c>
      <c r="K35" s="69">
        <v>6.666666666666667</v>
      </c>
      <c r="L35" s="69">
        <v>2.5833333333333335</v>
      </c>
      <c r="M35" s="69"/>
      <c r="N35" s="9">
        <v>1</v>
      </c>
      <c r="O35" s="9">
        <v>0</v>
      </c>
      <c r="P35" s="9">
        <v>16.25</v>
      </c>
      <c r="Q35"/>
      <c r="R35"/>
      <c r="S35"/>
      <c r="T35"/>
    </row>
    <row r="36" spans="1:26" ht="24.85" customHeight="1" x14ac:dyDescent="0.45">
      <c r="A36" s="67"/>
      <c r="B36" s="49" t="s">
        <v>100</v>
      </c>
      <c r="C36" s="55">
        <f>GETPIVOTDATA("Média de % Conclusão",'PRG02'!$A$3,"TAREFA","14 - BANCOS TRASEIROS")</f>
        <v>0</v>
      </c>
      <c r="D36" s="23">
        <f t="shared" si="0"/>
        <v>0</v>
      </c>
      <c r="E36" s="8" t="s">
        <v>127</v>
      </c>
      <c r="F36" s="9"/>
      <c r="G36" s="9"/>
      <c r="H36" s="9"/>
      <c r="I36" s="9">
        <v>1.5</v>
      </c>
      <c r="J36" s="9">
        <v>1.8333333333333335</v>
      </c>
      <c r="K36" s="69"/>
      <c r="L36" s="69">
        <v>0.5</v>
      </c>
      <c r="M36" s="69">
        <v>0.33333333333333331</v>
      </c>
      <c r="N36" s="9"/>
      <c r="O36" s="9">
        <v>0</v>
      </c>
      <c r="P36" s="9">
        <v>4.166666666666667</v>
      </c>
      <c r="Q36"/>
      <c r="R36"/>
      <c r="S36"/>
      <c r="T36"/>
    </row>
    <row r="37" spans="1:26" ht="24.85" customHeight="1" x14ac:dyDescent="0.45">
      <c r="A37" s="67" t="s">
        <v>178</v>
      </c>
      <c r="B37" s="49" t="s">
        <v>116</v>
      </c>
      <c r="C37" s="55">
        <f>GETPIVOTDATA("Média de % Conclusão",'PRG02'!$A$3,"TAREFA","15 - BANCOS DIANTEIROS")</f>
        <v>0</v>
      </c>
      <c r="D37" s="23" t="str">
        <f t="shared" si="0"/>
        <v>15 - BANCOS DIANTEIROS</v>
      </c>
      <c r="E37" s="8" t="s">
        <v>179</v>
      </c>
      <c r="F37" s="9">
        <v>0.25</v>
      </c>
      <c r="G37" s="9">
        <v>4.583333333333333</v>
      </c>
      <c r="H37" s="9">
        <v>6.416666666666667</v>
      </c>
      <c r="I37" s="9">
        <v>6</v>
      </c>
      <c r="J37" s="9">
        <v>5.416666666666667</v>
      </c>
      <c r="K37" s="69">
        <v>8.5</v>
      </c>
      <c r="L37" s="69">
        <v>13.333333333333334</v>
      </c>
      <c r="M37" s="69">
        <v>11.916666666666666</v>
      </c>
      <c r="N37" s="9">
        <v>1</v>
      </c>
      <c r="O37" s="9">
        <v>0</v>
      </c>
      <c r="P37" s="9">
        <v>57.416666666666657</v>
      </c>
      <c r="Q37"/>
      <c r="R37"/>
      <c r="S37"/>
      <c r="T37"/>
    </row>
    <row r="38" spans="1:26" ht="24.85" customHeight="1" x14ac:dyDescent="0.45">
      <c r="A38" s="67" t="s">
        <v>178</v>
      </c>
      <c r="B38" s="49" t="s">
        <v>127</v>
      </c>
      <c r="C38" s="55">
        <f>GETPIVOTDATA("Média de % Conclusão",'PRG02'!$A$3,"TAREFA","16 - VOLANTE")</f>
        <v>0</v>
      </c>
      <c r="D38" s="23" t="str">
        <f t="shared" si="0"/>
        <v>16 - VOLANTE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6" ht="24.85" customHeight="1" x14ac:dyDescent="0.45">
      <c r="A39" s="67"/>
      <c r="B39" s="49" t="s">
        <v>135</v>
      </c>
      <c r="C39" s="55">
        <f>GETPIVOTDATA("Média de % Conclusão",'PRG02'!$A$3,"TAREFA","17 - TAMPÃO")</f>
        <v>0</v>
      </c>
      <c r="D39" s="23">
        <f t="shared" si="0"/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6" ht="24.85" customHeight="1" x14ac:dyDescent="0.45">
      <c r="A40" s="67"/>
      <c r="B40" s="49" t="s">
        <v>143</v>
      </c>
      <c r="C40" s="55">
        <f>GETPIVOTDATA("Média de % Conclusão",'PRG02'!$A$3,"TAREFA","18 - MONTAGEM VEÍCULO")</f>
        <v>0</v>
      </c>
      <c r="D40" s="23">
        <f t="shared" si="0"/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6" ht="24.85" customHeight="1" x14ac:dyDescent="0.45">
      <c r="A41" s="67"/>
      <c r="B41" s="49" t="s">
        <v>154</v>
      </c>
      <c r="C41" s="55">
        <f>GETPIVOTDATA("Média de % Conclusão",'PRG02'!$A$3,"TAREFA","19 - LIMPEZA FINAL")</f>
        <v>0</v>
      </c>
      <c r="D41" s="23">
        <f t="shared" si="0"/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6" ht="29.25" x14ac:dyDescent="0.45">
      <c r="A42" s="67"/>
      <c r="B42" s="50" t="s">
        <v>165</v>
      </c>
      <c r="C42" s="55">
        <f>GETPIVOTDATA("Média de % Conclusão",'PRG02'!$A$3,"TAREFA","20 - INPEÇÃO DE QUALIDADE")</f>
        <v>0</v>
      </c>
      <c r="D42" s="23">
        <f t="shared" si="0"/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Z42" s="2"/>
    </row>
    <row r="43" spans="1:26" x14ac:dyDescent="0.45"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6" x14ac:dyDescent="0.45"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6" x14ac:dyDescent="0.45"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6" x14ac:dyDescent="0.45">
      <c r="J46" s="7"/>
      <c r="K46" s="7"/>
      <c r="L46" s="7"/>
      <c r="M46" s="7"/>
      <c r="N46" s="7"/>
      <c r="O46" s="7"/>
      <c r="P46" s="7"/>
      <c r="Q46" s="7"/>
      <c r="R46" s="7"/>
    </row>
    <row r="47" spans="1:26" x14ac:dyDescent="0.45">
      <c r="J47" s="7"/>
      <c r="K47" s="7"/>
      <c r="L47" s="7"/>
      <c r="M47" s="7"/>
      <c r="N47" s="7"/>
      <c r="O47" s="7"/>
      <c r="P47" s="7"/>
      <c r="Q47" s="7"/>
      <c r="R47" s="7"/>
    </row>
    <row r="48" spans="1:26" x14ac:dyDescent="0.45">
      <c r="J48" s="7"/>
      <c r="K48" s="7"/>
      <c r="L48" s="7"/>
      <c r="M48" s="7"/>
      <c r="N48" s="7"/>
      <c r="O48" s="7"/>
      <c r="P48" s="7"/>
      <c r="Q48" s="7"/>
      <c r="R48" s="7"/>
    </row>
    <row r="49" spans="5:18" x14ac:dyDescent="0.45">
      <c r="J49" s="7"/>
      <c r="K49" s="7"/>
      <c r="L49" s="7"/>
      <c r="M49" s="7"/>
      <c r="N49" s="7"/>
      <c r="O49" s="7"/>
      <c r="P49" s="7"/>
      <c r="Q49" s="7"/>
      <c r="R49" s="7"/>
    </row>
    <row r="50" spans="5:18" x14ac:dyDescent="0.45">
      <c r="E50" s="5" t="s">
        <v>197</v>
      </c>
      <c r="F50" s="7" t="s">
        <v>221</v>
      </c>
      <c r="G50" s="6" t="s">
        <v>216</v>
      </c>
      <c r="H50" s="6" t="s">
        <v>217</v>
      </c>
      <c r="J50" s="7"/>
      <c r="K50" s="7"/>
      <c r="L50" s="7"/>
      <c r="M50" s="7"/>
      <c r="N50" s="7"/>
      <c r="O50" s="7"/>
      <c r="P50" s="7"/>
      <c r="Q50" s="7"/>
      <c r="R50" s="7"/>
    </row>
    <row r="51" spans="5:18" x14ac:dyDescent="0.45">
      <c r="E51" s="6" t="s">
        <v>69</v>
      </c>
      <c r="F51" s="51">
        <v>7.5</v>
      </c>
      <c r="G51" s="51">
        <v>0</v>
      </c>
      <c r="H51" s="53">
        <v>0</v>
      </c>
      <c r="J51" s="7"/>
      <c r="K51" s="7"/>
      <c r="L51" s="7"/>
      <c r="M51" s="7"/>
      <c r="N51" s="7"/>
      <c r="O51" s="7"/>
      <c r="P51" s="7"/>
      <c r="Q51" s="7"/>
      <c r="R51" s="7"/>
    </row>
    <row r="52" spans="5:18" x14ac:dyDescent="0.45">
      <c r="E52" s="6" t="s">
        <v>183</v>
      </c>
      <c r="F52" s="51">
        <v>0.33333333333333331</v>
      </c>
      <c r="G52" s="51">
        <v>0.25</v>
      </c>
      <c r="H52" s="53">
        <v>0.75</v>
      </c>
      <c r="J52" s="7"/>
      <c r="K52" s="7"/>
      <c r="L52" s="7"/>
      <c r="M52" s="7"/>
      <c r="N52" s="7"/>
      <c r="O52" s="7"/>
      <c r="P52" s="7"/>
      <c r="Q52" s="7"/>
      <c r="R52" s="7"/>
    </row>
    <row r="53" spans="5:18" x14ac:dyDescent="0.45">
      <c r="E53" s="6" t="s">
        <v>182</v>
      </c>
      <c r="F53" s="51">
        <v>14.833333333333334</v>
      </c>
      <c r="G53" s="51">
        <v>0</v>
      </c>
      <c r="H53" s="53">
        <v>0</v>
      </c>
      <c r="J53" s="7"/>
      <c r="K53" s="7"/>
      <c r="L53" s="7"/>
      <c r="M53" s="7"/>
      <c r="N53" s="7"/>
      <c r="O53" s="7"/>
      <c r="P53" s="7"/>
      <c r="Q53" s="7"/>
      <c r="R53" s="7"/>
    </row>
    <row r="54" spans="5:18" x14ac:dyDescent="0.45">
      <c r="E54" s="6" t="s">
        <v>109</v>
      </c>
      <c r="F54" s="51">
        <v>7</v>
      </c>
      <c r="G54" s="51">
        <v>0</v>
      </c>
      <c r="H54" s="53">
        <v>0</v>
      </c>
      <c r="J54" s="7"/>
      <c r="K54" s="7"/>
      <c r="L54" s="7"/>
      <c r="M54" s="7"/>
      <c r="N54" s="7"/>
      <c r="O54" s="7"/>
      <c r="P54" s="7"/>
      <c r="Q54" s="7"/>
      <c r="R54" s="7"/>
    </row>
    <row r="55" spans="5:18" x14ac:dyDescent="0.45">
      <c r="E55" s="6" t="s">
        <v>184</v>
      </c>
      <c r="F55" s="51">
        <v>7.333333333333333</v>
      </c>
      <c r="G55" s="51">
        <v>1.5</v>
      </c>
      <c r="H55" s="53">
        <v>0.20454545454545456</v>
      </c>
      <c r="J55" s="7"/>
      <c r="K55" s="7"/>
      <c r="L55" s="7"/>
      <c r="M55" s="7"/>
      <c r="N55" s="7"/>
      <c r="O55" s="7"/>
      <c r="P55" s="7"/>
      <c r="Q55" s="7"/>
      <c r="R55" s="7"/>
    </row>
    <row r="56" spans="5:18" x14ac:dyDescent="0.45">
      <c r="E56" s="10" t="s">
        <v>63</v>
      </c>
      <c r="F56" s="52">
        <v>13.583333333333334</v>
      </c>
      <c r="G56" s="52">
        <v>0.83333333333333337</v>
      </c>
      <c r="H56" s="54">
        <v>6.1349693251533742E-2</v>
      </c>
      <c r="J56" s="7"/>
      <c r="K56" s="7"/>
      <c r="L56" s="7"/>
      <c r="M56" s="7"/>
      <c r="N56" s="7"/>
      <c r="O56" s="7"/>
      <c r="P56" s="7"/>
      <c r="Q56" s="7"/>
      <c r="R56" s="7"/>
    </row>
    <row r="57" spans="5:18" x14ac:dyDescent="0.45">
      <c r="E57" s="10" t="s">
        <v>73</v>
      </c>
      <c r="F57" s="52">
        <v>14.416666666666666</v>
      </c>
      <c r="G57" s="52">
        <v>7.416666666666667</v>
      </c>
      <c r="H57" s="54">
        <v>0.51445086705202314</v>
      </c>
      <c r="J57" s="7"/>
      <c r="K57" s="7"/>
      <c r="L57" s="7"/>
      <c r="M57" s="7"/>
      <c r="N57" s="7"/>
      <c r="O57" s="7"/>
      <c r="P57" s="7"/>
      <c r="Q57" s="7"/>
      <c r="R57" s="7"/>
    </row>
    <row r="58" spans="5:18" x14ac:dyDescent="0.45">
      <c r="E58" s="10" t="s">
        <v>181</v>
      </c>
      <c r="F58" s="52">
        <v>12.833333333333334</v>
      </c>
      <c r="G58" s="52">
        <v>0.91666666666666663</v>
      </c>
      <c r="H58" s="54">
        <v>7.1428571428571425E-2</v>
      </c>
      <c r="J58" s="7"/>
      <c r="K58" s="7"/>
      <c r="L58" s="7"/>
      <c r="M58" s="7"/>
      <c r="N58" s="7"/>
      <c r="O58" s="7"/>
      <c r="P58" s="7"/>
      <c r="Q58" s="7"/>
      <c r="R58" s="7"/>
    </row>
    <row r="59" spans="5:18" x14ac:dyDescent="0.45">
      <c r="E59" s="6" t="s">
        <v>189</v>
      </c>
      <c r="F59" s="51">
        <v>1</v>
      </c>
      <c r="G59" s="51">
        <v>0</v>
      </c>
      <c r="H59" s="53">
        <v>0</v>
      </c>
      <c r="J59" s="7"/>
      <c r="K59" s="7"/>
      <c r="L59" s="7"/>
      <c r="M59" s="7"/>
      <c r="N59" s="7"/>
      <c r="O59" s="7"/>
      <c r="P59" s="7"/>
      <c r="Q59" s="7"/>
      <c r="R59" s="7"/>
    </row>
    <row r="60" spans="5:18" x14ac:dyDescent="0.45">
      <c r="E60" s="6" t="s">
        <v>167</v>
      </c>
      <c r="F60" s="51">
        <v>0.25</v>
      </c>
      <c r="G60" s="51">
        <v>0</v>
      </c>
      <c r="H60" s="53">
        <v>0</v>
      </c>
      <c r="J60" s="7"/>
      <c r="K60" s="7"/>
      <c r="L60" s="7"/>
      <c r="M60" s="7"/>
      <c r="N60" s="7"/>
      <c r="O60" s="7"/>
      <c r="P60" s="7"/>
      <c r="Q60" s="7"/>
      <c r="R60" s="7"/>
    </row>
    <row r="61" spans="5:18" x14ac:dyDescent="0.45">
      <c r="E61" s="6" t="s">
        <v>220</v>
      </c>
      <c r="F61" s="51">
        <v>0</v>
      </c>
      <c r="G61" s="51">
        <v>0</v>
      </c>
      <c r="H61" s="53" t="e">
        <v>#DIV/0!</v>
      </c>
      <c r="J61" s="7"/>
      <c r="K61" s="7"/>
      <c r="L61" s="7"/>
      <c r="M61" s="7"/>
      <c r="N61" s="7"/>
      <c r="O61" s="7"/>
      <c r="P61" s="7"/>
      <c r="Q61" s="7"/>
      <c r="R61" s="7"/>
    </row>
    <row r="62" spans="5:18" x14ac:dyDescent="0.45">
      <c r="E62" s="8" t="s">
        <v>179</v>
      </c>
      <c r="F62" s="51">
        <v>79.083333333333329</v>
      </c>
      <c r="G62" s="51">
        <v>10.916666666666666</v>
      </c>
      <c r="H62" s="53">
        <v>0.1380400421496312</v>
      </c>
      <c r="J62" s="7"/>
      <c r="K62" s="7"/>
      <c r="L62" s="7"/>
      <c r="M62" s="7"/>
      <c r="N62" s="7"/>
      <c r="O62" s="7"/>
      <c r="P62" s="7"/>
      <c r="Q62" s="7"/>
      <c r="R62" s="7"/>
    </row>
    <row r="63" spans="5:18" x14ac:dyDescent="0.45">
      <c r="G63"/>
      <c r="J63" s="7"/>
      <c r="K63" s="7"/>
      <c r="L63" s="7"/>
      <c r="M63" s="7"/>
      <c r="N63" s="7"/>
      <c r="O63" s="7"/>
      <c r="P63" s="7"/>
      <c r="Q63" s="7"/>
      <c r="R63" s="7"/>
    </row>
    <row r="64" spans="5:18" x14ac:dyDescent="0.45">
      <c r="J64" s="7"/>
      <c r="K64" s="7"/>
      <c r="L64" s="7"/>
      <c r="M64" s="7"/>
      <c r="N64" s="7"/>
      <c r="O64" s="7"/>
      <c r="P64" s="7"/>
      <c r="Q64" s="7"/>
      <c r="R64" s="7"/>
    </row>
    <row r="65" spans="7:18" x14ac:dyDescent="0.45">
      <c r="J65" s="7"/>
      <c r="K65" s="7"/>
      <c r="L65" s="7"/>
      <c r="M65" s="7"/>
      <c r="N65" s="7"/>
      <c r="O65" s="7"/>
      <c r="P65" s="7"/>
      <c r="Q65" s="7"/>
      <c r="R65" s="7"/>
    </row>
    <row r="66" spans="7:18" x14ac:dyDescent="0.45">
      <c r="J66" s="7"/>
      <c r="K66" s="7"/>
      <c r="L66" s="7"/>
      <c r="M66" s="7"/>
      <c r="N66" s="7"/>
      <c r="O66" s="7"/>
      <c r="P66" s="7"/>
      <c r="Q66" s="7"/>
      <c r="R66" s="7"/>
    </row>
    <row r="67" spans="7:18" x14ac:dyDescent="0.45">
      <c r="J67" s="7"/>
      <c r="K67" s="7"/>
      <c r="L67" s="7"/>
      <c r="M67" s="7"/>
      <c r="N67" s="7"/>
      <c r="O67" s="7"/>
      <c r="P67" s="7"/>
      <c r="Q67" s="7"/>
      <c r="R67" s="7"/>
    </row>
    <row r="68" spans="7:18" x14ac:dyDescent="0.45"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7:18" x14ac:dyDescent="0.45"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7:18" x14ac:dyDescent="0.45"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7:18" x14ac:dyDescent="0.45"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7:18" x14ac:dyDescent="0.45"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7:18" x14ac:dyDescent="0.45"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7:18" x14ac:dyDescent="0.45"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7:18" x14ac:dyDescent="0.45"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7:18" x14ac:dyDescent="0.45"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7:18" x14ac:dyDescent="0.4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7:18" x14ac:dyDescent="0.45"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</sheetData>
  <mergeCells count="2">
    <mergeCell ref="A21:B21"/>
    <mergeCell ref="A1:R1"/>
  </mergeCells>
  <conditionalFormatting sqref="A23:A42">
    <cfRule type="notContainsBlanks" dxfId="100" priority="1">
      <formula>LEN(TRIM(A23))&gt;0</formula>
    </cfRule>
    <cfRule type="containsBlanks" dxfId="99" priority="2">
      <formula>LEN(TRIM(A23))=0</formula>
    </cfRule>
  </conditionalFormatting>
  <conditionalFormatting sqref="C3">
    <cfRule type="containsBlanks" dxfId="98" priority="4">
      <formula>LEN(TRIM(C3))=0</formula>
    </cfRule>
  </conditionalFormatting>
  <conditionalFormatting sqref="C5 C7 C9 C11">
    <cfRule type="containsBlanks" dxfId="97" priority="5">
      <formula>LEN(TRIM(C5))=0</formula>
    </cfRule>
  </conditionalFormatting>
  <conditionalFormatting sqref="C13">
    <cfRule type="cellIs" dxfId="96" priority="6" operator="lessThan">
      <formula>0</formula>
    </cfRule>
  </conditionalFormatting>
  <conditionalFormatting sqref="F5">
    <cfRule type="containsBlanks" dxfId="95" priority="3">
      <formula>LEN(TRIM(F5))=0</formula>
    </cfRule>
  </conditionalFormatting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BC21FE-62CF-42DE-ABB0-D762B1E6D369}">
          <x14:formula1>
            <xm:f>Colaboradores!$C$1</xm:f>
          </x14:formula1>
          <xm:sqref>A23:A42</xm:sqref>
        </x14:dataValidation>
        <x14:dataValidation type="list" allowBlank="1" showInputMessage="1" showErrorMessage="1" xr:uid="{3AB4DC99-B9CF-4124-A578-5C227C4338F6}">
          <x14:formula1>
            <xm:f>Colaboradores!$A$2:$A$29</xm:f>
          </x14:formula1>
          <xm:sqref>C7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63DA-FBAA-441B-A2F5-8157E5886E4D}">
  <sheetPr>
    <tabColor rgb="FFFFC000"/>
  </sheetPr>
  <dimension ref="A1:H270"/>
  <sheetViews>
    <sheetView showGridLines="0" tabSelected="1" topLeftCell="B1" zoomScale="150" zoomScaleNormal="150" workbookViewId="0">
      <selection activeCell="D21" sqref="D21"/>
    </sheetView>
  </sheetViews>
  <sheetFormatPr defaultRowHeight="14.25" x14ac:dyDescent="0.45"/>
  <cols>
    <col min="1" max="1" width="50.46484375" hidden="1" customWidth="1"/>
    <col min="2" max="2" width="43.3984375" style="30" customWidth="1"/>
    <col min="3" max="3" width="19.265625" style="37" customWidth="1"/>
    <col min="4" max="4" width="49.6640625" style="30" customWidth="1"/>
    <col min="5" max="5" width="18.73046875" style="37" bestFit="1" customWidth="1"/>
    <col min="6" max="7" width="22.33203125" style="33" bestFit="1" customWidth="1"/>
    <col min="8" max="8" width="12.19921875" style="46" customWidth="1"/>
    <col min="13" max="13" width="44.46484375" bestFit="1" customWidth="1"/>
    <col min="14" max="14" width="22.33203125" customWidth="1"/>
    <col min="15" max="15" width="157.3984375" bestFit="1" customWidth="1"/>
    <col min="16" max="16" width="17.3984375" bestFit="1" customWidth="1"/>
  </cols>
  <sheetData>
    <row r="1" spans="1:8" x14ac:dyDescent="0.45">
      <c r="A1" t="s">
        <v>177</v>
      </c>
      <c r="B1" s="24" t="s">
        <v>0</v>
      </c>
      <c r="C1" s="24" t="s">
        <v>173</v>
      </c>
      <c r="D1" s="24" t="s">
        <v>174</v>
      </c>
      <c r="E1" s="24" t="s">
        <v>1</v>
      </c>
      <c r="F1" s="25" t="s">
        <v>180</v>
      </c>
      <c r="G1" s="25" t="s">
        <v>210</v>
      </c>
      <c r="H1" s="25" t="s">
        <v>214</v>
      </c>
    </row>
    <row r="2" spans="1:8" x14ac:dyDescent="0.45">
      <c r="A2" s="11" t="str">
        <f>B2&amp;COUNTIF($B$2:B2,B2)</f>
        <v>1 - RETIRADA DE PEÇAS DO VEÍCULO/BALCÃO1</v>
      </c>
      <c r="B2" s="26" t="s">
        <v>2</v>
      </c>
      <c r="C2" s="28" t="s">
        <v>3</v>
      </c>
      <c r="D2" s="27" t="s">
        <v>196</v>
      </c>
      <c r="E2" s="28" t="s">
        <v>181</v>
      </c>
      <c r="F2" s="29">
        <v>15</v>
      </c>
      <c r="G2" s="38">
        <v>15</v>
      </c>
      <c r="H2" s="45">
        <v>1</v>
      </c>
    </row>
    <row r="3" spans="1:8" x14ac:dyDescent="0.45">
      <c r="A3" s="11" t="str">
        <f>B3&amp;COUNTIF($B$2:B3,B3)</f>
        <v>1 - RETIRADA DE PEÇAS DO VEÍCULO/BALCÃO2</v>
      </c>
      <c r="B3" s="26" t="s">
        <v>2</v>
      </c>
      <c r="C3" s="28" t="s">
        <v>3</v>
      </c>
      <c r="D3" s="27" t="s">
        <v>4</v>
      </c>
      <c r="E3" s="28" t="s">
        <v>181</v>
      </c>
      <c r="F3" s="29">
        <v>20</v>
      </c>
      <c r="G3" s="38">
        <v>20</v>
      </c>
      <c r="H3" s="45">
        <v>1</v>
      </c>
    </row>
    <row r="4" spans="1:8" x14ac:dyDescent="0.45">
      <c r="A4" s="11" t="str">
        <f>B4&amp;COUNTIF($B$2:B4,B4)</f>
        <v>1 - RETIRADA DE PEÇAS DO VEÍCULO/BALCÃO3</v>
      </c>
      <c r="B4" s="26" t="s">
        <v>2</v>
      </c>
      <c r="C4" s="28" t="s">
        <v>3</v>
      </c>
      <c r="D4" s="27" t="s">
        <v>5</v>
      </c>
      <c r="E4" s="28" t="s">
        <v>181</v>
      </c>
      <c r="F4" s="29">
        <v>10</v>
      </c>
      <c r="G4" s="38">
        <v>20</v>
      </c>
      <c r="H4" s="45">
        <v>1</v>
      </c>
    </row>
    <row r="5" spans="1:8" x14ac:dyDescent="0.45">
      <c r="A5" s="11" t="str">
        <f>B5&amp;COUNTIF($B$2:B5,B5)</f>
        <v>1 - RETIRADA DE PEÇAS DO VEÍCULO/BALCÃO4</v>
      </c>
      <c r="B5" s="26" t="s">
        <v>2</v>
      </c>
      <c r="C5" s="28" t="s">
        <v>3</v>
      </c>
      <c r="D5" s="27" t="s">
        <v>6</v>
      </c>
      <c r="E5" s="28" t="s">
        <v>183</v>
      </c>
      <c r="F5" s="29">
        <v>15</v>
      </c>
      <c r="G5" s="38">
        <v>15</v>
      </c>
      <c r="H5" s="45">
        <v>1</v>
      </c>
    </row>
    <row r="6" spans="1:8" x14ac:dyDescent="0.45">
      <c r="A6" s="11" t="str">
        <f>B6&amp;COUNTIF($B$2:B6,B6)</f>
        <v>1 - RETIRADA DE PEÇAS DO VEÍCULO/BALCÃO5</v>
      </c>
      <c r="B6" s="26" t="s">
        <v>2</v>
      </c>
      <c r="C6" s="28" t="s">
        <v>3</v>
      </c>
      <c r="D6" s="27" t="s">
        <v>7</v>
      </c>
      <c r="E6" s="28" t="str">
        <f>VLOOKUP(C6,Colaboradores!$E$2:$G$33,2,FALSE)</f>
        <v>Nikolas</v>
      </c>
      <c r="F6" s="29">
        <v>40</v>
      </c>
      <c r="G6" s="38">
        <v>40</v>
      </c>
      <c r="H6" s="45">
        <v>1</v>
      </c>
    </row>
    <row r="7" spans="1:8" x14ac:dyDescent="0.45">
      <c r="A7" s="11" t="str">
        <f>B7&amp;COUNTIF($B$2:B7,B7)</f>
        <v>1 - RETIRADA DE PEÇAS DO VEÍCULO/BALCÃO6</v>
      </c>
      <c r="B7" s="26" t="s">
        <v>2</v>
      </c>
      <c r="C7" s="28" t="s">
        <v>3</v>
      </c>
      <c r="D7" s="27" t="s">
        <v>8</v>
      </c>
      <c r="E7" s="28" t="str">
        <f>VLOOKUP(C7,Colaboradores!$E$2:$G$33,2,FALSE)</f>
        <v>Nikolas</v>
      </c>
      <c r="F7" s="29">
        <v>15</v>
      </c>
      <c r="G7" s="38">
        <v>15</v>
      </c>
      <c r="H7" s="45">
        <v>0.1</v>
      </c>
    </row>
    <row r="8" spans="1:8" x14ac:dyDescent="0.45">
      <c r="A8" s="11" t="str">
        <f>B8&amp;COUNTIF($B$2:B8,B8)</f>
        <v>1 - RETIRADA DE PEÇAS DO VEÍCULO/BALCÃO7</v>
      </c>
      <c r="B8" s="26" t="s">
        <v>2</v>
      </c>
      <c r="C8" s="28" t="s">
        <v>3</v>
      </c>
      <c r="D8" s="27" t="s">
        <v>9</v>
      </c>
      <c r="E8" s="28" t="str">
        <f>VLOOKUP(C8,Colaboradores!$E$2:$G$33,2,FALSE)</f>
        <v>Nikolas</v>
      </c>
      <c r="F8" s="29">
        <v>30</v>
      </c>
      <c r="G8" s="38">
        <v>330</v>
      </c>
      <c r="H8" s="45">
        <v>1</v>
      </c>
    </row>
    <row r="9" spans="1:8" x14ac:dyDescent="0.45">
      <c r="A9" s="11" t="str">
        <f>B9&amp;COUNTIF($B$2:B9,B9)</f>
        <v>1 - RETIRADA DE PEÇAS DO VEÍCULO/BALCÃO8</v>
      </c>
      <c r="B9" s="26" t="s">
        <v>2</v>
      </c>
      <c r="C9" s="28" t="s">
        <v>3</v>
      </c>
      <c r="D9" s="27" t="s">
        <v>10</v>
      </c>
      <c r="E9" s="28" t="str">
        <f>VLOOKUP(C9,Colaboradores!$E$2:$G$33,2,FALSE)</f>
        <v>Nikolas</v>
      </c>
      <c r="F9" s="29">
        <v>60</v>
      </c>
      <c r="G9" s="38">
        <v>60</v>
      </c>
      <c r="H9" s="45">
        <v>1</v>
      </c>
    </row>
    <row r="10" spans="1:8" x14ac:dyDescent="0.45">
      <c r="A10" s="11" t="str">
        <f>B10&amp;COUNTIF($B$2:B10,B10)</f>
        <v>1 - RETIRADA DE PEÇAS DO VEÍCULO/BALCÃO9</v>
      </c>
      <c r="B10" s="26" t="s">
        <v>2</v>
      </c>
      <c r="C10" s="28"/>
      <c r="D10" s="27"/>
      <c r="E10" s="28" t="e">
        <f>VLOOKUP(C10,Colaboradores!$E$2:$G$33,2,FALSE)</f>
        <v>#N/A</v>
      </c>
      <c r="F10" s="29"/>
      <c r="G10" s="38"/>
      <c r="H10" s="45"/>
    </row>
    <row r="11" spans="1:8" x14ac:dyDescent="0.45">
      <c r="A11" s="11" t="str">
        <f>B11&amp;COUNTIF($B$2:B11,B11)</f>
        <v>1 - RETIRADA DE PEÇAS DO VEÍCULO/BALCÃO10</v>
      </c>
      <c r="B11" s="26" t="s">
        <v>2</v>
      </c>
      <c r="C11" s="28"/>
      <c r="D11" s="27"/>
      <c r="E11" s="28" t="e">
        <f>VLOOKUP(C11,Colaboradores!$E$2:$G$33,2,FALSE)</f>
        <v>#N/A</v>
      </c>
      <c r="F11" s="29"/>
      <c r="G11" s="38"/>
      <c r="H11" s="45"/>
    </row>
    <row r="12" spans="1:8" x14ac:dyDescent="0.45">
      <c r="A12" s="11" t="str">
        <f>B12&amp;COUNTIF($B$2:B12,B12)</f>
        <v>1 - RETIRADA DE PEÇAS DO VEÍCULO/BALCÃO11</v>
      </c>
      <c r="B12" s="26" t="s">
        <v>2</v>
      </c>
      <c r="C12" s="28"/>
      <c r="D12" s="27"/>
      <c r="E12" s="28" t="e">
        <f>VLOOKUP(C12,Colaboradores!$E$2:$G$33,2,FALSE)</f>
        <v>#N/A</v>
      </c>
      <c r="F12" s="29"/>
      <c r="G12" s="38"/>
      <c r="H12" s="45"/>
    </row>
    <row r="13" spans="1:8" x14ac:dyDescent="0.45">
      <c r="A13" s="11" t="str">
        <f>B13&amp;COUNTIF($B$2:B13,B13)</f>
        <v>1 - RETIRADA DE PEÇAS DO VEÍCULO/BALCÃO12</v>
      </c>
      <c r="B13" s="26" t="s">
        <v>2</v>
      </c>
      <c r="C13" s="28"/>
      <c r="D13" s="27"/>
      <c r="E13" s="28" t="e">
        <f>VLOOKUP(C13,Colaboradores!$E$2:$G$33,2,FALSE)</f>
        <v>#N/A</v>
      </c>
      <c r="F13" s="29"/>
      <c r="G13" s="38"/>
      <c r="H13" s="45"/>
    </row>
    <row r="14" spans="1:8" x14ac:dyDescent="0.45">
      <c r="A14" s="11" t="str">
        <f>B14&amp;COUNTIF($B$2:B14,B14)</f>
        <v>1 - RETIRADA DE PEÇAS DO VEÍCULO/BALCÃO13</v>
      </c>
      <c r="B14" s="26" t="s">
        <v>2</v>
      </c>
      <c r="C14" s="28"/>
      <c r="D14" s="27"/>
      <c r="E14" s="28" t="e">
        <f>VLOOKUP(C14,Colaboradores!$E$2:$G$33,2,FALSE)</f>
        <v>#N/A</v>
      </c>
      <c r="F14" s="29"/>
      <c r="G14" s="38"/>
      <c r="H14" s="45"/>
    </row>
    <row r="15" spans="1:8" x14ac:dyDescent="0.45">
      <c r="A15" s="11" t="str">
        <f>B15&amp;COUNTIF($B$2:B15,B15)</f>
        <v>1 - RETIRADA DE PEÇAS DO VEÍCULO/BALCÃO14</v>
      </c>
      <c r="B15" s="26" t="s">
        <v>2</v>
      </c>
      <c r="C15" s="28"/>
      <c r="D15" s="27"/>
      <c r="E15" s="28" t="e">
        <f>VLOOKUP(C15,Colaboradores!$E$2:$G$33,2,FALSE)</f>
        <v>#N/A</v>
      </c>
      <c r="F15" s="29"/>
      <c r="G15" s="38"/>
      <c r="H15" s="45"/>
    </row>
    <row r="16" spans="1:8" x14ac:dyDescent="0.45">
      <c r="A16" t="str">
        <f>B16&amp;COUNTIF($B$2:B16,B16)</f>
        <v>2 - LIMPEZA INICIAL1</v>
      </c>
      <c r="B16" s="30" t="s">
        <v>11</v>
      </c>
      <c r="C16" s="32" t="s">
        <v>12</v>
      </c>
      <c r="D16" s="31" t="s">
        <v>13</v>
      </c>
      <c r="E16" s="32" t="s">
        <v>63</v>
      </c>
      <c r="F16" s="33">
        <v>25</v>
      </c>
      <c r="G16" s="34">
        <v>50</v>
      </c>
      <c r="H16" s="45">
        <v>1</v>
      </c>
    </row>
    <row r="17" spans="1:8" x14ac:dyDescent="0.45">
      <c r="A17" t="str">
        <f>B17&amp;COUNTIF($B$2:B17,B17)</f>
        <v>2 - LIMPEZA INICIAL2</v>
      </c>
      <c r="B17" s="30" t="s">
        <v>11</v>
      </c>
      <c r="C17" s="32"/>
      <c r="D17" s="31"/>
      <c r="E17" s="32" t="e">
        <f>VLOOKUP(C17,Colaboradores!$E$2:$G$33,2,FALSE)</f>
        <v>#N/A</v>
      </c>
      <c r="G17" s="34"/>
      <c r="H17" s="45"/>
    </row>
    <row r="18" spans="1:8" x14ac:dyDescent="0.45">
      <c r="A18" t="str">
        <f>B18&amp;COUNTIF($B$2:B18,B18)</f>
        <v>2 - LIMPEZA INICIAL3</v>
      </c>
      <c r="B18" s="30" t="s">
        <v>11</v>
      </c>
      <c r="C18" s="32"/>
      <c r="D18" s="31"/>
      <c r="E18" s="32" t="e">
        <f>VLOOKUP(C18,Colaboradores!$E$2:$G$33,2,FALSE)</f>
        <v>#N/A</v>
      </c>
      <c r="G18" s="34"/>
      <c r="H18" s="45"/>
    </row>
    <row r="19" spans="1:8" x14ac:dyDescent="0.45">
      <c r="A19" t="str">
        <f>B19&amp;COUNTIF($B$2:B19,B19)</f>
        <v>2 - LIMPEZA INICIAL4</v>
      </c>
      <c r="B19" s="30" t="s">
        <v>11</v>
      </c>
      <c r="C19" s="32"/>
      <c r="D19" s="31"/>
      <c r="E19" s="32" t="e">
        <f>VLOOKUP(C19,Colaboradores!$E$2:$G$33,2,FALSE)</f>
        <v>#N/A</v>
      </c>
      <c r="G19" s="34"/>
      <c r="H19" s="45"/>
    </row>
    <row r="20" spans="1:8" x14ac:dyDescent="0.45">
      <c r="A20" t="str">
        <f>B20&amp;COUNTIF($B$2:B20,B20)</f>
        <v>2 - LIMPEZA INICIAL5</v>
      </c>
      <c r="B20" s="30" t="s">
        <v>11</v>
      </c>
      <c r="C20" s="32"/>
      <c r="D20" s="31"/>
      <c r="E20" s="32" t="e">
        <f>VLOOKUP(C20,Colaboradores!$E$2:$G$33,2,FALSE)</f>
        <v>#N/A</v>
      </c>
      <c r="G20" s="34"/>
      <c r="H20" s="45"/>
    </row>
    <row r="21" spans="1:8" x14ac:dyDescent="0.45">
      <c r="A21" t="str">
        <f>B21&amp;COUNTIF($B$2:B21,B21)</f>
        <v>2 - LIMPEZA INICIAL6</v>
      </c>
      <c r="B21" s="30" t="s">
        <v>11</v>
      </c>
      <c r="C21" s="32"/>
      <c r="D21" s="31"/>
      <c r="E21" s="32" t="e">
        <f>VLOOKUP(C21,Colaboradores!$E$2:$G$33,2,FALSE)</f>
        <v>#N/A</v>
      </c>
      <c r="G21" s="34"/>
      <c r="H21" s="45"/>
    </row>
    <row r="22" spans="1:8" x14ac:dyDescent="0.45">
      <c r="A22" t="str">
        <f>B22&amp;COUNTIF($B$2:B22,B22)</f>
        <v>2 - LIMPEZA INICIAL7</v>
      </c>
      <c r="B22" s="30" t="s">
        <v>11</v>
      </c>
      <c r="C22" s="32"/>
      <c r="D22" s="31"/>
      <c r="E22" s="32" t="e">
        <f>VLOOKUP(C22,Colaboradores!$E$2:$G$33,2,FALSE)</f>
        <v>#N/A</v>
      </c>
      <c r="G22" s="34"/>
      <c r="H22" s="45"/>
    </row>
    <row r="23" spans="1:8" x14ac:dyDescent="0.45">
      <c r="A23" t="str">
        <f>B23&amp;COUNTIF($B$2:B23,B23)</f>
        <v>2 - LIMPEZA INICIAL8</v>
      </c>
      <c r="B23" s="30" t="s">
        <v>11</v>
      </c>
      <c r="C23" s="32"/>
      <c r="D23" s="31"/>
      <c r="E23" s="32" t="e">
        <f>VLOOKUP(C23,Colaboradores!$E$2:$G$33,2,FALSE)</f>
        <v>#N/A</v>
      </c>
      <c r="G23" s="34"/>
      <c r="H23" s="45"/>
    </row>
    <row r="24" spans="1:8" x14ac:dyDescent="0.45">
      <c r="A24" s="11" t="str">
        <f>B24&amp;COUNTIF($B$2:B24,B24)</f>
        <v>3 - ISOLANTE OU FELTRO1</v>
      </c>
      <c r="B24" s="26" t="s">
        <v>14</v>
      </c>
      <c r="C24" s="28" t="s">
        <v>15</v>
      </c>
      <c r="D24" s="27" t="s">
        <v>16</v>
      </c>
      <c r="E24" s="28" t="str">
        <f>VLOOKUP(C24,Colaboradores!$E$2:$G$33,2,FALSE)</f>
        <v>Rita</v>
      </c>
      <c r="F24" s="29">
        <v>45</v>
      </c>
      <c r="G24" s="38">
        <v>90</v>
      </c>
      <c r="H24" s="45">
        <v>0</v>
      </c>
    </row>
    <row r="25" spans="1:8" x14ac:dyDescent="0.45">
      <c r="A25" s="11" t="str">
        <f>B25&amp;COUNTIF($B$2:B25,B25)</f>
        <v>3 - ISOLANTE OU FELTRO2</v>
      </c>
      <c r="B25" s="26" t="s">
        <v>14</v>
      </c>
      <c r="C25" s="28" t="s">
        <v>17</v>
      </c>
      <c r="D25" s="27" t="s">
        <v>18</v>
      </c>
      <c r="E25" s="28" t="str">
        <f>VLOOKUP(C25,Colaboradores!$E$2:$G$33,2,FALSE)</f>
        <v>Lohan</v>
      </c>
      <c r="F25" s="29">
        <v>20</v>
      </c>
      <c r="G25" s="38"/>
      <c r="H25" s="45">
        <v>0</v>
      </c>
    </row>
    <row r="26" spans="1:8" x14ac:dyDescent="0.45">
      <c r="A26" s="11" t="str">
        <f>B26&amp;COUNTIF($B$2:B26,B26)</f>
        <v>3 - ISOLANTE OU FELTRO3</v>
      </c>
      <c r="B26" s="26" t="s">
        <v>14</v>
      </c>
      <c r="C26" s="28" t="s">
        <v>12</v>
      </c>
      <c r="D26" s="27" t="s">
        <v>19</v>
      </c>
      <c r="E26" s="28" t="s">
        <v>63</v>
      </c>
      <c r="F26" s="29">
        <v>40</v>
      </c>
      <c r="G26" s="38"/>
      <c r="H26" s="45">
        <v>0</v>
      </c>
    </row>
    <row r="27" spans="1:8" x14ac:dyDescent="0.45">
      <c r="A27" s="11" t="str">
        <f>B27&amp;COUNTIF($B$2:B27,B27)</f>
        <v>3 - ISOLANTE OU FELTRO4</v>
      </c>
      <c r="B27" s="26" t="s">
        <v>14</v>
      </c>
      <c r="C27" s="28" t="s">
        <v>12</v>
      </c>
      <c r="D27" s="27" t="s">
        <v>20</v>
      </c>
      <c r="E27" s="28" t="s">
        <v>63</v>
      </c>
      <c r="F27" s="29">
        <v>60</v>
      </c>
      <c r="G27" s="38"/>
      <c r="H27" s="45">
        <v>0</v>
      </c>
    </row>
    <row r="28" spans="1:8" x14ac:dyDescent="0.45">
      <c r="A28" s="11" t="str">
        <f>B28&amp;COUNTIF($B$2:B28,B28)</f>
        <v>3 - ISOLANTE OU FELTRO5</v>
      </c>
      <c r="B28" s="26" t="s">
        <v>14</v>
      </c>
      <c r="C28" s="28" t="s">
        <v>12</v>
      </c>
      <c r="D28" s="27" t="s">
        <v>168</v>
      </c>
      <c r="E28" s="28" t="s">
        <v>63</v>
      </c>
      <c r="F28" s="29">
        <v>90</v>
      </c>
      <c r="G28" s="38"/>
      <c r="H28" s="45">
        <v>0</v>
      </c>
    </row>
    <row r="29" spans="1:8" x14ac:dyDescent="0.45">
      <c r="A29" s="11" t="str">
        <f>B29&amp;COUNTIF($B$2:B29,B29)</f>
        <v>3 - ISOLANTE OU FELTRO6</v>
      </c>
      <c r="B29" s="26" t="s">
        <v>14</v>
      </c>
      <c r="C29" s="28" t="s">
        <v>12</v>
      </c>
      <c r="D29" s="27" t="s">
        <v>169</v>
      </c>
      <c r="E29" s="28" t="s">
        <v>63</v>
      </c>
      <c r="F29" s="29">
        <v>90</v>
      </c>
      <c r="G29" s="38"/>
      <c r="H29" s="45">
        <v>0</v>
      </c>
    </row>
    <row r="30" spans="1:8" x14ac:dyDescent="0.45">
      <c r="A30" s="11" t="str">
        <f>B30&amp;COUNTIF($B$2:B30,B30)</f>
        <v>3 - ISOLANTE OU FELTRO7</v>
      </c>
      <c r="B30" s="26" t="s">
        <v>14</v>
      </c>
      <c r="C30" s="28"/>
      <c r="D30" s="27"/>
      <c r="E30" s="28" t="e">
        <f>VLOOKUP(C30,Colaboradores!$E$2:$G$33,2,FALSE)</f>
        <v>#N/A</v>
      </c>
      <c r="F30" s="29"/>
      <c r="G30" s="38"/>
      <c r="H30" s="45"/>
    </row>
    <row r="31" spans="1:8" x14ac:dyDescent="0.45">
      <c r="A31" s="11" t="str">
        <f>B31&amp;COUNTIF($B$2:B31,B31)</f>
        <v>3 - ISOLANTE OU FELTRO8</v>
      </c>
      <c r="B31" s="26" t="s">
        <v>14</v>
      </c>
      <c r="C31" s="28"/>
      <c r="D31" s="27"/>
      <c r="E31" s="28" t="e">
        <f>VLOOKUP(C31,Colaboradores!$E$2:$G$33,2,FALSE)</f>
        <v>#N/A</v>
      </c>
      <c r="F31" s="29"/>
      <c r="G31" s="38"/>
      <c r="H31" s="45"/>
    </row>
    <row r="32" spans="1:8" x14ac:dyDescent="0.45">
      <c r="A32" s="11" t="str">
        <f>B32&amp;COUNTIF($B$2:B32,B32)</f>
        <v>3 - ISOLANTE OU FELTRO9</v>
      </c>
      <c r="B32" s="26" t="s">
        <v>14</v>
      </c>
      <c r="C32" s="28"/>
      <c r="D32" s="27"/>
      <c r="E32" s="28" t="e">
        <f>VLOOKUP(C32,Colaboradores!$E$2:$G$33,2,FALSE)</f>
        <v>#N/A</v>
      </c>
      <c r="F32" s="29"/>
      <c r="G32" s="38"/>
      <c r="H32" s="45"/>
    </row>
    <row r="33" spans="1:8" x14ac:dyDescent="0.45">
      <c r="A33" s="11" t="str">
        <f>B33&amp;COUNTIF($B$2:B33,B33)</f>
        <v>3 - ISOLANTE OU FELTRO10</v>
      </c>
      <c r="B33" s="26" t="s">
        <v>14</v>
      </c>
      <c r="C33" s="28"/>
      <c r="D33" s="27"/>
      <c r="E33" s="28" t="e">
        <f>VLOOKUP(C33,Colaboradores!$E$2:$G$33,2,FALSE)</f>
        <v>#N/A</v>
      </c>
      <c r="F33" s="29"/>
      <c r="G33" s="38"/>
      <c r="H33" s="45"/>
    </row>
    <row r="34" spans="1:8" x14ac:dyDescent="0.45">
      <c r="A34" s="11" t="str">
        <f>B34&amp;COUNTIF($B$2:B34,B34)</f>
        <v>3 - ISOLANTE OU FELTRO11</v>
      </c>
      <c r="B34" s="26" t="s">
        <v>14</v>
      </c>
      <c r="C34" s="28"/>
      <c r="D34" s="27"/>
      <c r="E34" s="28" t="e">
        <f>VLOOKUP(C34,Colaboradores!$E$2:$G$33,2,FALSE)</f>
        <v>#N/A</v>
      </c>
      <c r="F34" s="29"/>
      <c r="G34" s="38"/>
      <c r="H34" s="45"/>
    </row>
    <row r="35" spans="1:8" x14ac:dyDescent="0.45">
      <c r="A35" s="11" t="str">
        <f>B35&amp;COUNTIF($B$2:B35,B35)</f>
        <v>3 - ISOLANTE OU FELTRO12</v>
      </c>
      <c r="B35" s="26" t="s">
        <v>14</v>
      </c>
      <c r="C35" s="28"/>
      <c r="D35" s="27"/>
      <c r="E35" s="28" t="e">
        <f>VLOOKUP(C35,Colaboradores!$E$2:$G$33,2,FALSE)</f>
        <v>#N/A</v>
      </c>
      <c r="F35" s="29"/>
      <c r="G35" s="38"/>
      <c r="H35" s="45"/>
    </row>
    <row r="36" spans="1:8" x14ac:dyDescent="0.45">
      <c r="A36" s="11" t="str">
        <f>B36&amp;COUNTIF($B$2:B36,B36)</f>
        <v>3 - ISOLANTE OU FELTRO13</v>
      </c>
      <c r="B36" s="26" t="s">
        <v>14</v>
      </c>
      <c r="C36" s="28"/>
      <c r="D36" s="27"/>
      <c r="E36" s="28" t="e">
        <f>VLOOKUP(C36,Colaboradores!$E$2:$G$33,2,FALSE)</f>
        <v>#N/A</v>
      </c>
      <c r="F36" s="29"/>
      <c r="G36" s="38"/>
      <c r="H36" s="45"/>
    </row>
    <row r="37" spans="1:8" x14ac:dyDescent="0.45">
      <c r="A37" t="str">
        <f>B37&amp;COUNTIF($B$2:B37,B37)</f>
        <v>4 - TETO1</v>
      </c>
      <c r="B37" s="30" t="s">
        <v>21</v>
      </c>
      <c r="C37" s="32" t="s">
        <v>3</v>
      </c>
      <c r="D37" s="31" t="s">
        <v>22</v>
      </c>
      <c r="E37" s="32" t="s">
        <v>73</v>
      </c>
      <c r="F37" s="33">
        <v>80</v>
      </c>
      <c r="G37" s="34"/>
      <c r="H37" s="45">
        <v>0</v>
      </c>
    </row>
    <row r="38" spans="1:8" x14ac:dyDescent="0.45">
      <c r="A38" t="str">
        <f>B38&amp;COUNTIF($B$2:B38,B38)</f>
        <v>4 - TETO2</v>
      </c>
      <c r="B38" s="30" t="s">
        <v>21</v>
      </c>
      <c r="C38" s="32" t="s">
        <v>12</v>
      </c>
      <c r="D38" s="31" t="s">
        <v>23</v>
      </c>
      <c r="E38" s="32" t="s">
        <v>73</v>
      </c>
      <c r="F38" s="33">
        <v>240</v>
      </c>
      <c r="G38" s="34"/>
      <c r="H38" s="45">
        <v>0</v>
      </c>
    </row>
    <row r="39" spans="1:8" x14ac:dyDescent="0.45">
      <c r="A39" t="str">
        <f>B39&amp;COUNTIF($B$2:B39,B39)</f>
        <v>4 - TETO3</v>
      </c>
      <c r="B39" s="30" t="s">
        <v>21</v>
      </c>
      <c r="C39" s="32" t="s">
        <v>12</v>
      </c>
      <c r="D39" s="31" t="s">
        <v>24</v>
      </c>
      <c r="E39" s="32" t="s">
        <v>73</v>
      </c>
      <c r="F39" s="33">
        <v>60</v>
      </c>
      <c r="G39" s="34"/>
      <c r="H39" s="45">
        <v>0</v>
      </c>
    </row>
    <row r="40" spans="1:8" x14ac:dyDescent="0.45">
      <c r="A40" t="str">
        <f>B40&amp;COUNTIF($B$2:B40,B40)</f>
        <v>4 - TETO4</v>
      </c>
      <c r="B40" s="30" t="s">
        <v>21</v>
      </c>
      <c r="C40" s="32" t="s">
        <v>15</v>
      </c>
      <c r="D40" s="31" t="s">
        <v>25</v>
      </c>
      <c r="E40" s="32" t="str">
        <f>VLOOKUP(C40,Colaboradores!$E$2:$G$33,2,FALSE)</f>
        <v>Rita</v>
      </c>
      <c r="F40" s="33">
        <v>15</v>
      </c>
      <c r="G40" s="34"/>
      <c r="H40" s="45">
        <v>0</v>
      </c>
    </row>
    <row r="41" spans="1:8" x14ac:dyDescent="0.45">
      <c r="A41" t="str">
        <f>B41&amp;COUNTIF($B$2:B41,B41)</f>
        <v>4 - TETO5</v>
      </c>
      <c r="B41" s="30" t="s">
        <v>21</v>
      </c>
      <c r="C41" s="32" t="s">
        <v>17</v>
      </c>
      <c r="D41" s="31" t="s">
        <v>26</v>
      </c>
      <c r="E41" s="32" t="s">
        <v>73</v>
      </c>
      <c r="F41" s="33">
        <v>30</v>
      </c>
      <c r="G41" s="34"/>
      <c r="H41" s="45">
        <v>0</v>
      </c>
    </row>
    <row r="42" spans="1:8" x14ac:dyDescent="0.45">
      <c r="A42" t="str">
        <f>B42&amp;COUNTIF($B$2:B42,B42)</f>
        <v>4 - TETO6</v>
      </c>
      <c r="B42" s="30" t="s">
        <v>21</v>
      </c>
      <c r="C42" s="32" t="s">
        <v>27</v>
      </c>
      <c r="D42" s="31" t="s">
        <v>28</v>
      </c>
      <c r="E42" s="32" t="str">
        <f>VLOOKUP(C42,Colaboradores!$E$2:$G$33,2,FALSE)</f>
        <v>Gabriel</v>
      </c>
      <c r="F42" s="33">
        <v>80</v>
      </c>
      <c r="G42" s="34"/>
      <c r="H42" s="45">
        <v>0</v>
      </c>
    </row>
    <row r="43" spans="1:8" x14ac:dyDescent="0.45">
      <c r="A43" t="str">
        <f>B43&amp;COUNTIF($B$2:B43,B43)</f>
        <v>4 - TETO7</v>
      </c>
      <c r="B43" s="30" t="s">
        <v>21</v>
      </c>
      <c r="C43" s="32" t="s">
        <v>29</v>
      </c>
      <c r="D43" s="31" t="s">
        <v>30</v>
      </c>
      <c r="E43" s="32" t="str">
        <f>VLOOKUP(C43,Colaboradores!$E$2:$G$33,2,FALSE)</f>
        <v>Arthur</v>
      </c>
      <c r="F43" s="33">
        <v>80</v>
      </c>
      <c r="G43" s="34"/>
      <c r="H43" s="45">
        <v>0</v>
      </c>
    </row>
    <row r="44" spans="1:8" x14ac:dyDescent="0.45">
      <c r="A44" t="str">
        <f>B44&amp;COUNTIF($B$2:B44,B44)</f>
        <v>4 - TETO8</v>
      </c>
      <c r="B44" s="30" t="s">
        <v>21</v>
      </c>
      <c r="C44" s="32"/>
      <c r="D44" s="31"/>
      <c r="E44" s="32" t="e">
        <f>VLOOKUP(C44,Colaboradores!$E$2:$G$33,2,FALSE)</f>
        <v>#N/A</v>
      </c>
      <c r="G44" s="34"/>
      <c r="H44" s="45"/>
    </row>
    <row r="45" spans="1:8" x14ac:dyDescent="0.45">
      <c r="A45" t="str">
        <f>B45&amp;COUNTIF($B$2:B45,B45)</f>
        <v>4 - TETO9</v>
      </c>
      <c r="B45" s="30" t="s">
        <v>21</v>
      </c>
      <c r="C45" s="32"/>
      <c r="D45" s="31"/>
      <c r="E45" s="32" t="e">
        <f>VLOOKUP(C45,Colaboradores!$E$2:$G$33,2,FALSE)</f>
        <v>#N/A</v>
      </c>
      <c r="G45" s="34"/>
      <c r="H45" s="45"/>
    </row>
    <row r="46" spans="1:8" x14ac:dyDescent="0.45">
      <c r="A46" t="str">
        <f>B46&amp;COUNTIF($B$2:B46,B46)</f>
        <v>4 - TETO10</v>
      </c>
      <c r="B46" s="30" t="s">
        <v>21</v>
      </c>
      <c r="C46" s="32"/>
      <c r="D46" s="31"/>
      <c r="E46" s="32" t="e">
        <f>VLOOKUP(C46,Colaboradores!$E$2:$G$33,2,FALSE)</f>
        <v>#N/A</v>
      </c>
      <c r="G46" s="34"/>
      <c r="H46" s="45"/>
    </row>
    <row r="47" spans="1:8" x14ac:dyDescent="0.45">
      <c r="A47" t="str">
        <f>B47&amp;COUNTIF($B$2:B47,B47)</f>
        <v>4 - TETO11</v>
      </c>
      <c r="B47" s="30" t="s">
        <v>21</v>
      </c>
      <c r="C47" s="32"/>
      <c r="D47" s="31"/>
      <c r="E47" s="32" t="e">
        <f>VLOOKUP(C47,Colaboradores!$E$2:$G$33,2,FALSE)</f>
        <v>#N/A</v>
      </c>
      <c r="G47" s="34"/>
      <c r="H47" s="45"/>
    </row>
    <row r="48" spans="1:8" x14ac:dyDescent="0.45">
      <c r="A48" t="str">
        <f>B48&amp;COUNTIF($B$2:B48,B48)</f>
        <v>4 - TETO12</v>
      </c>
      <c r="B48" s="30" t="s">
        <v>21</v>
      </c>
      <c r="C48" s="32"/>
      <c r="D48" s="31"/>
      <c r="E48" s="32" t="e">
        <f>VLOOKUP(C48,Colaboradores!$E$2:$G$33,2,FALSE)</f>
        <v>#N/A</v>
      </c>
      <c r="G48" s="34"/>
      <c r="H48" s="45"/>
    </row>
    <row r="49" spans="1:8" x14ac:dyDescent="0.45">
      <c r="A49" t="str">
        <f>B49&amp;COUNTIF($B$2:B49,B49)</f>
        <v>4 - TETO13</v>
      </c>
      <c r="B49" s="30" t="s">
        <v>21</v>
      </c>
      <c r="C49" s="32"/>
      <c r="D49" s="31"/>
      <c r="E49" s="32" t="e">
        <f>VLOOKUP(C49,Colaboradores!$E$2:$G$33,2,FALSE)</f>
        <v>#N/A</v>
      </c>
      <c r="G49" s="34"/>
      <c r="H49" s="45"/>
    </row>
    <row r="50" spans="1:8" x14ac:dyDescent="0.45">
      <c r="A50" s="11" t="str">
        <f>B50&amp;COUNTIF($B$2:B50,B50)</f>
        <v>5 - CINTOS1</v>
      </c>
      <c r="B50" s="26" t="s">
        <v>31</v>
      </c>
      <c r="C50" s="28" t="s">
        <v>29</v>
      </c>
      <c r="D50" s="27" t="s">
        <v>32</v>
      </c>
      <c r="E50" s="28" t="str">
        <f>VLOOKUP(C50,Colaboradores!$E$2:$G$33,2,FALSE)</f>
        <v>Arthur</v>
      </c>
      <c r="F50" s="29">
        <v>10</v>
      </c>
      <c r="G50" s="38"/>
      <c r="H50" s="45">
        <v>0</v>
      </c>
    </row>
    <row r="51" spans="1:8" x14ac:dyDescent="0.45">
      <c r="A51" s="11" t="str">
        <f>B51&amp;COUNTIF($B$2:B51,B51)</f>
        <v>5 - CINTOS2</v>
      </c>
      <c r="B51" s="26" t="s">
        <v>31</v>
      </c>
      <c r="C51" s="28" t="s">
        <v>29</v>
      </c>
      <c r="D51" s="27" t="s">
        <v>33</v>
      </c>
      <c r="E51" s="28" t="str">
        <f>VLOOKUP(C51,Colaboradores!$E$2:$G$33,2,FALSE)</f>
        <v>Arthur</v>
      </c>
      <c r="F51" s="29">
        <v>15</v>
      </c>
      <c r="G51" s="38"/>
      <c r="H51" s="45">
        <v>0</v>
      </c>
    </row>
    <row r="52" spans="1:8" x14ac:dyDescent="0.45">
      <c r="A52" s="11" t="str">
        <f>B52&amp;COUNTIF($B$2:B52,B52)</f>
        <v>5 - CINTOS3</v>
      </c>
      <c r="B52" s="26" t="s">
        <v>31</v>
      </c>
      <c r="C52" s="28"/>
      <c r="D52" s="27"/>
      <c r="E52" s="28" t="e">
        <f>VLOOKUP(C52,Colaboradores!$E$2:$G$33,2,FALSE)</f>
        <v>#N/A</v>
      </c>
      <c r="F52" s="29"/>
      <c r="G52" s="38"/>
      <c r="H52" s="45"/>
    </row>
    <row r="53" spans="1:8" x14ac:dyDescent="0.45">
      <c r="A53" s="11" t="str">
        <f>B53&amp;COUNTIF($B$2:B53,B53)</f>
        <v>5 - CINTOS4</v>
      </c>
      <c r="B53" s="26" t="s">
        <v>31</v>
      </c>
      <c r="C53" s="28"/>
      <c r="D53" s="27"/>
      <c r="E53" s="28" t="e">
        <f>VLOOKUP(C53,Colaboradores!$E$2:$G$33,2,FALSE)</f>
        <v>#N/A</v>
      </c>
      <c r="F53" s="29"/>
      <c r="G53" s="38"/>
      <c r="H53" s="45"/>
    </row>
    <row r="54" spans="1:8" x14ac:dyDescent="0.45">
      <c r="A54" s="11" t="str">
        <f>B54&amp;COUNTIF($B$2:B54,B54)</f>
        <v>5 - CINTOS5</v>
      </c>
      <c r="B54" s="26" t="s">
        <v>31</v>
      </c>
      <c r="C54" s="28"/>
      <c r="D54" s="27"/>
      <c r="E54" s="28" t="e">
        <f>VLOOKUP(C54,Colaboradores!$E$2:$G$33,2,FALSE)</f>
        <v>#N/A</v>
      </c>
      <c r="F54" s="29"/>
      <c r="G54" s="38"/>
      <c r="H54" s="45"/>
    </row>
    <row r="55" spans="1:8" x14ac:dyDescent="0.45">
      <c r="A55" s="11" t="str">
        <f>B55&amp;COUNTIF($B$2:B55,B55)</f>
        <v>5 - CINTOS6</v>
      </c>
      <c r="B55" s="26" t="s">
        <v>31</v>
      </c>
      <c r="C55" s="28"/>
      <c r="D55" s="27"/>
      <c r="E55" s="28" t="e">
        <f>VLOOKUP(C55,Colaboradores!$E$2:$G$33,2,FALSE)</f>
        <v>#N/A</v>
      </c>
      <c r="F55" s="29"/>
      <c r="G55" s="38"/>
      <c r="H55" s="45"/>
    </row>
    <row r="56" spans="1:8" x14ac:dyDescent="0.45">
      <c r="A56" s="11" t="str">
        <f>B56&amp;COUNTIF($B$2:B56,B56)</f>
        <v>5 - CINTOS7</v>
      </c>
      <c r="B56" s="26" t="s">
        <v>31</v>
      </c>
      <c r="C56" s="28"/>
      <c r="D56" s="27"/>
      <c r="E56" s="28" t="e">
        <f>VLOOKUP(C56,Colaboradores!$E$2:$G$33,2,FALSE)</f>
        <v>#N/A</v>
      </c>
      <c r="F56" s="29"/>
      <c r="G56" s="38"/>
      <c r="H56" s="45"/>
    </row>
    <row r="57" spans="1:8" x14ac:dyDescent="0.45">
      <c r="A57" s="11" t="str">
        <f>B57&amp;COUNTIF($B$2:B57,B57)</f>
        <v>5 - CINTOS8</v>
      </c>
      <c r="B57" s="26" t="s">
        <v>31</v>
      </c>
      <c r="C57" s="28"/>
      <c r="D57" s="27"/>
      <c r="E57" s="28" t="e">
        <f>VLOOKUP(C57,Colaboradores!$E$2:$G$33,2,FALSE)</f>
        <v>#N/A</v>
      </c>
      <c r="F57" s="29"/>
      <c r="G57" s="38"/>
      <c r="H57" s="45"/>
    </row>
    <row r="58" spans="1:8" x14ac:dyDescent="0.45">
      <c r="A58" t="str">
        <f>B58&amp;COUNTIF($B$2:B58,B58)</f>
        <v>6 -  CARPETE / ASSOALHO    ( NOVO ? / MOLDADO ? / PORSCHE ?)1</v>
      </c>
      <c r="B58" s="30" t="s">
        <v>34</v>
      </c>
      <c r="C58" s="32" t="s">
        <v>12</v>
      </c>
      <c r="D58" s="31"/>
      <c r="E58" s="32" t="s">
        <v>63</v>
      </c>
      <c r="F58" s="35"/>
      <c r="G58" s="36"/>
      <c r="H58" s="45"/>
    </row>
    <row r="59" spans="1:8" x14ac:dyDescent="0.45">
      <c r="A59" t="str">
        <f>B59&amp;COUNTIF($B$2:B59,B59)</f>
        <v>6 -  CARPETE / ASSOALHO    ( NOVO ? / MOLDADO ? / PORSCHE ?)2</v>
      </c>
      <c r="B59" s="30" t="s">
        <v>34</v>
      </c>
      <c r="C59" s="32" t="s">
        <v>12</v>
      </c>
      <c r="D59" s="31"/>
      <c r="E59" s="32" t="s">
        <v>63</v>
      </c>
      <c r="F59" s="35"/>
      <c r="G59" s="36"/>
      <c r="H59" s="45"/>
    </row>
    <row r="60" spans="1:8" x14ac:dyDescent="0.45">
      <c r="A60" t="str">
        <f>B60&amp;COUNTIF($B$2:B60,B60)</f>
        <v>6 -  CARPETE / ASSOALHO    ( NOVO ? / MOLDADO ? / PORSCHE ?)3</v>
      </c>
      <c r="B60" s="30" t="s">
        <v>34</v>
      </c>
      <c r="C60" s="32" t="s">
        <v>35</v>
      </c>
      <c r="D60" s="31"/>
      <c r="E60" s="32" t="str">
        <f>VLOOKUP(C60,Colaboradores!$E$2:$G$33,2,FALSE)</f>
        <v>Edna</v>
      </c>
      <c r="F60" s="35"/>
      <c r="G60" s="36"/>
      <c r="H60" s="45"/>
    </row>
    <row r="61" spans="1:8" x14ac:dyDescent="0.45">
      <c r="A61" t="str">
        <f>B61&amp;COUNTIF($B$2:B61,B61)</f>
        <v>6 -  CARPETE / ASSOALHO    ( NOVO ? / MOLDADO ? / PORSCHE ?)4</v>
      </c>
      <c r="B61" s="30" t="s">
        <v>34</v>
      </c>
      <c r="C61" s="32" t="s">
        <v>29</v>
      </c>
      <c r="D61" s="31" t="s">
        <v>36</v>
      </c>
      <c r="E61" s="32" t="str">
        <f>VLOOKUP(C61,Colaboradores!$E$2:$G$33,2,FALSE)</f>
        <v>Arthur</v>
      </c>
      <c r="F61" s="33">
        <v>60</v>
      </c>
      <c r="G61" s="34"/>
      <c r="H61" s="45">
        <v>0</v>
      </c>
    </row>
    <row r="62" spans="1:8" x14ac:dyDescent="0.45">
      <c r="A62" t="str">
        <f>B62&amp;COUNTIF($B$2:B62,B62)</f>
        <v>6 -  CARPETE / ASSOALHO    ( NOVO ? / MOLDADO ? / PORSCHE ?)5</v>
      </c>
      <c r="B62" s="30" t="s">
        <v>34</v>
      </c>
      <c r="C62" s="32"/>
      <c r="D62" s="31"/>
      <c r="E62" s="32" t="e">
        <f>VLOOKUP(C62,Colaboradores!$E$2:$G$33,2,FALSE)</f>
        <v>#N/A</v>
      </c>
      <c r="G62" s="34"/>
      <c r="H62" s="45"/>
    </row>
    <row r="63" spans="1:8" x14ac:dyDescent="0.45">
      <c r="A63" t="str">
        <f>B63&amp;COUNTIF($B$2:B63,B63)</f>
        <v>6 -  CARPETE / ASSOALHO    ( NOVO ? / MOLDADO ? / PORSCHE ?)6</v>
      </c>
      <c r="B63" s="30" t="s">
        <v>34</v>
      </c>
      <c r="C63" s="32"/>
      <c r="D63" s="31"/>
      <c r="E63" s="32" t="e">
        <f>VLOOKUP(C63,Colaboradores!$E$2:$G$33,2,FALSE)</f>
        <v>#N/A</v>
      </c>
      <c r="G63" s="34"/>
      <c r="H63" s="45"/>
    </row>
    <row r="64" spans="1:8" x14ac:dyDescent="0.45">
      <c r="A64" t="str">
        <f>B64&amp;COUNTIF($B$2:B64,B64)</f>
        <v>6 -  CARPETE / ASSOALHO    ( NOVO ? / MOLDADO ? / PORSCHE ?)7</v>
      </c>
      <c r="B64" s="30" t="s">
        <v>34</v>
      </c>
      <c r="C64" s="32"/>
      <c r="D64" s="31"/>
      <c r="E64" s="32" t="e">
        <f>VLOOKUP(C64,Colaboradores!$E$2:$G$33,2,FALSE)</f>
        <v>#N/A</v>
      </c>
      <c r="G64" s="34"/>
      <c r="H64" s="45"/>
    </row>
    <row r="65" spans="1:8" x14ac:dyDescent="0.45">
      <c r="A65" t="str">
        <f>B65&amp;COUNTIF($B$2:B65,B65)</f>
        <v>6 -  CARPETE / ASSOALHO    ( NOVO ? / MOLDADO ? / PORSCHE ?)8</v>
      </c>
      <c r="B65" s="30" t="s">
        <v>34</v>
      </c>
      <c r="C65" s="32"/>
      <c r="D65" s="31"/>
      <c r="E65" s="32" t="e">
        <f>VLOOKUP(C65,Colaboradores!$E$2:$G$33,2,FALSE)</f>
        <v>#N/A</v>
      </c>
      <c r="G65" s="34"/>
      <c r="H65" s="45"/>
    </row>
    <row r="66" spans="1:8" x14ac:dyDescent="0.45">
      <c r="A66" t="str">
        <f>B66&amp;COUNTIF($B$2:B66,B66)</f>
        <v>6 -  CARPETE / ASSOALHO    ( NOVO ? / MOLDADO ? / PORSCHE ?)9</v>
      </c>
      <c r="B66" s="30" t="s">
        <v>34</v>
      </c>
      <c r="C66" s="32"/>
      <c r="D66" s="31"/>
      <c r="E66" s="32" t="e">
        <f>VLOOKUP(C66,Colaboradores!$E$2:$G$33,2,FALSE)</f>
        <v>#N/A</v>
      </c>
      <c r="G66" s="34"/>
      <c r="H66" s="45"/>
    </row>
    <row r="67" spans="1:8" x14ac:dyDescent="0.45">
      <c r="A67" s="11" t="str">
        <f>B67&amp;COUNTIF($B$2:B67,B67)</f>
        <v>7 - CONSOLE CENTRAL + PEÇAS1</v>
      </c>
      <c r="B67" s="26" t="s">
        <v>37</v>
      </c>
      <c r="C67" s="28" t="s">
        <v>29</v>
      </c>
      <c r="D67" s="27" t="s">
        <v>38</v>
      </c>
      <c r="E67" s="28" t="str">
        <f>VLOOKUP(C67,Colaboradores!$E$2:$G$33,2,FALSE)</f>
        <v>Arthur</v>
      </c>
      <c r="F67" s="29">
        <v>10</v>
      </c>
      <c r="G67" s="38"/>
      <c r="H67" s="45">
        <v>0</v>
      </c>
    </row>
    <row r="68" spans="1:8" x14ac:dyDescent="0.45">
      <c r="A68" s="11" t="str">
        <f>B68&amp;COUNTIF($B$2:B68,B68)</f>
        <v>7 - CONSOLE CENTRAL + PEÇAS2</v>
      </c>
      <c r="B68" s="26" t="s">
        <v>37</v>
      </c>
      <c r="C68" s="28" t="s">
        <v>29</v>
      </c>
      <c r="D68" s="27" t="s">
        <v>39</v>
      </c>
      <c r="E68" s="28" t="str">
        <f>VLOOKUP(C68,Colaboradores!$E$2:$G$33,2,FALSE)</f>
        <v>Arthur</v>
      </c>
      <c r="F68" s="35"/>
      <c r="G68" s="36"/>
      <c r="H68" s="45"/>
    </row>
    <row r="69" spans="1:8" x14ac:dyDescent="0.45">
      <c r="A69" s="11" t="str">
        <f>B69&amp;COUNTIF($B$2:B69,B69)</f>
        <v>7 - CONSOLE CENTRAL + PEÇAS3</v>
      </c>
      <c r="B69" s="26" t="s">
        <v>37</v>
      </c>
      <c r="C69" s="28" t="s">
        <v>29</v>
      </c>
      <c r="D69" s="27" t="s">
        <v>40</v>
      </c>
      <c r="E69" s="28" t="str">
        <f>VLOOKUP(C69,Colaboradores!$E$2:$G$33,2,FALSE)</f>
        <v>Arthur</v>
      </c>
      <c r="F69" s="29">
        <v>10</v>
      </c>
      <c r="G69" s="38"/>
      <c r="H69" s="45">
        <v>0</v>
      </c>
    </row>
    <row r="70" spans="1:8" x14ac:dyDescent="0.45">
      <c r="A70" s="11" t="str">
        <f>B70&amp;COUNTIF($B$2:B70,B70)</f>
        <v>7 - CONSOLE CENTRAL + PEÇAS4</v>
      </c>
      <c r="B70" s="26" t="s">
        <v>37</v>
      </c>
      <c r="C70" s="28"/>
      <c r="D70" s="27"/>
      <c r="E70" s="28" t="e">
        <f>VLOOKUP(C70,Colaboradores!$E$2:$G$33,2,FALSE)</f>
        <v>#N/A</v>
      </c>
      <c r="F70" s="29"/>
      <c r="G70" s="38"/>
      <c r="H70" s="45"/>
    </row>
    <row r="71" spans="1:8" x14ac:dyDescent="0.45">
      <c r="A71" s="11" t="str">
        <f>B71&amp;COUNTIF($B$2:B71,B71)</f>
        <v>7 - CONSOLE CENTRAL + PEÇAS5</v>
      </c>
      <c r="B71" s="26" t="s">
        <v>37</v>
      </c>
      <c r="C71" s="28"/>
      <c r="D71" s="27"/>
      <c r="E71" s="28" t="e">
        <f>VLOOKUP(C71,Colaboradores!$E$2:$G$33,2,FALSE)</f>
        <v>#N/A</v>
      </c>
      <c r="F71" s="29"/>
      <c r="G71" s="38"/>
      <c r="H71" s="45"/>
    </row>
    <row r="72" spans="1:8" x14ac:dyDescent="0.45">
      <c r="A72" s="11" t="str">
        <f>B72&amp;COUNTIF($B$2:B72,B72)</f>
        <v>7 - CONSOLE CENTRAL + PEÇAS6</v>
      </c>
      <c r="B72" s="26" t="s">
        <v>37</v>
      </c>
      <c r="C72" s="28"/>
      <c r="D72" s="27"/>
      <c r="E72" s="28" t="e">
        <f>VLOOKUP(C72,Colaboradores!$E$2:$G$33,2,FALSE)</f>
        <v>#N/A</v>
      </c>
      <c r="F72" s="29"/>
      <c r="G72" s="38"/>
      <c r="H72" s="45"/>
    </row>
    <row r="73" spans="1:8" x14ac:dyDescent="0.45">
      <c r="A73" s="11" t="str">
        <f>B73&amp;COUNTIF($B$2:B73,B73)</f>
        <v>7 - CONSOLE CENTRAL + PEÇAS7</v>
      </c>
      <c r="B73" s="26" t="s">
        <v>37</v>
      </c>
      <c r="C73" s="28"/>
      <c r="D73" s="27"/>
      <c r="E73" s="28" t="e">
        <f>VLOOKUP(C73,Colaboradores!$E$2:$G$33,2,FALSE)</f>
        <v>#N/A</v>
      </c>
      <c r="F73" s="29"/>
      <c r="G73" s="38"/>
      <c r="H73" s="45"/>
    </row>
    <row r="74" spans="1:8" x14ac:dyDescent="0.45">
      <c r="A74" s="11" t="str">
        <f>B74&amp;COUNTIF($B$2:B74,B74)</f>
        <v>7 - CONSOLE CENTRAL + PEÇAS8</v>
      </c>
      <c r="B74" s="26" t="s">
        <v>37</v>
      </c>
      <c r="C74" s="28"/>
      <c r="D74" s="27"/>
      <c r="E74" s="28" t="e">
        <f>VLOOKUP(C74,Colaboradores!$E$2:$G$33,2,FALSE)</f>
        <v>#N/A</v>
      </c>
      <c r="F74" s="29"/>
      <c r="G74" s="38"/>
      <c r="H74" s="45"/>
    </row>
    <row r="75" spans="1:8" x14ac:dyDescent="0.45">
      <c r="A75" s="11" t="str">
        <f>B75&amp;COUNTIF($B$2:B75,B75)</f>
        <v>7 - CONSOLE CENTRAL + PEÇAS9</v>
      </c>
      <c r="B75" s="26" t="s">
        <v>37</v>
      </c>
      <c r="C75" s="28"/>
      <c r="D75" s="27"/>
      <c r="E75" s="28" t="e">
        <f>VLOOKUP(C75,Colaboradores!$E$2:$G$33,2,FALSE)</f>
        <v>#N/A</v>
      </c>
      <c r="F75" s="29"/>
      <c r="G75" s="38"/>
      <c r="H75" s="45"/>
    </row>
    <row r="76" spans="1:8" x14ac:dyDescent="0.45">
      <c r="A76" t="str">
        <f>B76&amp;COUNTIF($B$2:B76,B76)</f>
        <v>8 - PORTA MALAS1</v>
      </c>
      <c r="B76" s="30" t="s">
        <v>41</v>
      </c>
      <c r="C76" s="32" t="s">
        <v>15</v>
      </c>
      <c r="D76" s="31" t="s">
        <v>42</v>
      </c>
      <c r="E76" s="32" t="str">
        <f>VLOOKUP(C76,Colaboradores!$E$2:$G$33,2,FALSE)</f>
        <v>Rita</v>
      </c>
      <c r="F76" s="33">
        <v>20</v>
      </c>
      <c r="G76" s="34"/>
      <c r="H76" s="45">
        <v>0</v>
      </c>
    </row>
    <row r="77" spans="1:8" x14ac:dyDescent="0.45">
      <c r="A77" t="str">
        <f>B77&amp;COUNTIF($B$2:B77,B77)</f>
        <v>8 - PORTA MALAS2</v>
      </c>
      <c r="B77" s="30" t="s">
        <v>41</v>
      </c>
      <c r="C77" s="32" t="s">
        <v>15</v>
      </c>
      <c r="D77" s="31" t="s">
        <v>43</v>
      </c>
      <c r="E77" s="32" t="str">
        <f>VLOOKUP(C77,Colaboradores!$E$2:$G$33,2,FALSE)</f>
        <v>Rita</v>
      </c>
      <c r="F77" s="33">
        <v>10</v>
      </c>
      <c r="G77" s="34"/>
      <c r="H77" s="45">
        <v>0</v>
      </c>
    </row>
    <row r="78" spans="1:8" x14ac:dyDescent="0.45">
      <c r="A78" t="str">
        <f>B78&amp;COUNTIF($B$2:B78,B78)</f>
        <v>8 - PORTA MALAS3</v>
      </c>
      <c r="B78" s="30" t="s">
        <v>41</v>
      </c>
      <c r="C78" s="32" t="s">
        <v>27</v>
      </c>
      <c r="D78" s="31" t="s">
        <v>44</v>
      </c>
      <c r="E78" s="32" t="str">
        <f>VLOOKUP(C78,Colaboradores!$E$2:$G$33,2,FALSE)</f>
        <v>Gabriel</v>
      </c>
      <c r="F78" s="33">
        <v>30</v>
      </c>
      <c r="G78" s="34"/>
      <c r="H78" s="45">
        <v>0</v>
      </c>
    </row>
    <row r="79" spans="1:8" x14ac:dyDescent="0.45">
      <c r="A79" t="str">
        <f>B79&amp;COUNTIF($B$2:B79,B79)</f>
        <v>8 - PORTA MALAS4</v>
      </c>
      <c r="B79" s="30" t="s">
        <v>41</v>
      </c>
      <c r="C79" s="32" t="s">
        <v>27</v>
      </c>
      <c r="D79" s="31" t="s">
        <v>45</v>
      </c>
      <c r="E79" s="32" t="str">
        <f>VLOOKUP(C79,Colaboradores!$E$2:$G$33,2,FALSE)</f>
        <v>Gabriel</v>
      </c>
      <c r="F79" s="33">
        <v>10</v>
      </c>
      <c r="G79" s="34"/>
      <c r="H79" s="45">
        <v>0</v>
      </c>
    </row>
    <row r="80" spans="1:8" x14ac:dyDescent="0.45">
      <c r="A80" t="str">
        <f>B80&amp;COUNTIF($B$2:B80,B80)</f>
        <v>8 - PORTA MALAS5</v>
      </c>
      <c r="B80" s="30" t="s">
        <v>41</v>
      </c>
      <c r="C80" s="32" t="s">
        <v>46</v>
      </c>
      <c r="D80" s="31" t="s">
        <v>47</v>
      </c>
      <c r="E80" s="32" t="str">
        <f>VLOOKUP(C80,Colaboradores!$E$2:$G$33,2,FALSE)</f>
        <v>Arthur</v>
      </c>
      <c r="F80" s="33">
        <v>50</v>
      </c>
      <c r="G80" s="34"/>
      <c r="H80" s="45">
        <v>0</v>
      </c>
    </row>
    <row r="81" spans="1:8" x14ac:dyDescent="0.45">
      <c r="A81" t="str">
        <f>B81&amp;COUNTIF($B$2:B81,B81)</f>
        <v>8 - PORTA MALAS6</v>
      </c>
      <c r="B81" s="30" t="s">
        <v>41</v>
      </c>
      <c r="C81" s="32" t="s">
        <v>46</v>
      </c>
      <c r="D81" s="31" t="s">
        <v>48</v>
      </c>
      <c r="E81" s="32" t="str">
        <f>VLOOKUP(C81,Colaboradores!$E$2:$G$33,2,FALSE)</f>
        <v>Arthur</v>
      </c>
      <c r="F81" s="33">
        <v>50</v>
      </c>
      <c r="G81" s="34"/>
      <c r="H81" s="45">
        <v>0</v>
      </c>
    </row>
    <row r="82" spans="1:8" x14ac:dyDescent="0.45">
      <c r="A82" t="str">
        <f>B82&amp;COUNTIF($B$2:B82,B82)</f>
        <v>8 - PORTA MALAS7</v>
      </c>
      <c r="B82" s="30" t="s">
        <v>41</v>
      </c>
      <c r="C82" s="32" t="s">
        <v>49</v>
      </c>
      <c r="D82" s="31" t="s">
        <v>50</v>
      </c>
      <c r="E82" s="32" t="str">
        <f>VLOOKUP(C82,Colaboradores!$E$2:$G$33,2,FALSE)</f>
        <v>Kadu</v>
      </c>
      <c r="F82" s="33">
        <v>5</v>
      </c>
      <c r="G82" s="34"/>
      <c r="H82" s="45">
        <v>0</v>
      </c>
    </row>
    <row r="83" spans="1:8" x14ac:dyDescent="0.45">
      <c r="A83" t="str">
        <f>B83&amp;COUNTIF($B$2:B83,B83)</f>
        <v>8 - PORTA MALAS8</v>
      </c>
      <c r="B83" s="30" t="s">
        <v>41</v>
      </c>
      <c r="C83" s="32" t="s">
        <v>46</v>
      </c>
      <c r="D83" s="31" t="s">
        <v>51</v>
      </c>
      <c r="E83" s="32" t="str">
        <f>VLOOKUP(C83,Colaboradores!$E$2:$G$33,2,FALSE)</f>
        <v>Arthur</v>
      </c>
      <c r="F83" s="33">
        <v>5</v>
      </c>
      <c r="G83" s="34"/>
      <c r="H83" s="45">
        <v>0</v>
      </c>
    </row>
    <row r="84" spans="1:8" x14ac:dyDescent="0.45">
      <c r="A84" t="str">
        <f>B84&amp;COUNTIF($B$2:B84,B84)</f>
        <v>8 - PORTA MALAS9</v>
      </c>
      <c r="B84" s="30" t="s">
        <v>41</v>
      </c>
      <c r="C84" s="32" t="s">
        <v>46</v>
      </c>
      <c r="D84" s="31" t="s">
        <v>52</v>
      </c>
      <c r="E84" s="32" t="str">
        <f>VLOOKUP(C84,Colaboradores!$E$2:$G$33,2,FALSE)</f>
        <v>Arthur</v>
      </c>
      <c r="F84" s="33">
        <v>5</v>
      </c>
      <c r="G84" s="34"/>
      <c r="H84" s="45">
        <v>0</v>
      </c>
    </row>
    <row r="85" spans="1:8" x14ac:dyDescent="0.45">
      <c r="A85" t="str">
        <f>B85&amp;COUNTIF($B$2:B85,B85)</f>
        <v>8 - PORTA MALAS10</v>
      </c>
      <c r="B85" s="30" t="s">
        <v>41</v>
      </c>
      <c r="C85" s="32"/>
      <c r="D85" s="31"/>
      <c r="E85" s="32" t="e">
        <f>VLOOKUP(C85,Colaboradores!$E$2:$G$33,2,FALSE)</f>
        <v>#N/A</v>
      </c>
      <c r="G85" s="34"/>
      <c r="H85" s="45"/>
    </row>
    <row r="86" spans="1:8" x14ac:dyDescent="0.45">
      <c r="A86" t="str">
        <f>B86&amp;COUNTIF($B$2:B86,B86)</f>
        <v>8 - PORTA MALAS11</v>
      </c>
      <c r="B86" s="30" t="s">
        <v>41</v>
      </c>
      <c r="C86" s="32"/>
      <c r="D86" s="31"/>
      <c r="E86" s="32" t="e">
        <f>VLOOKUP(C86,Colaboradores!$E$2:$G$33,2,FALSE)</f>
        <v>#N/A</v>
      </c>
      <c r="G86" s="34"/>
      <c r="H86" s="45"/>
    </row>
    <row r="87" spans="1:8" x14ac:dyDescent="0.45">
      <c r="A87" t="str">
        <f>B87&amp;COUNTIF($B$2:B87,B87)</f>
        <v>8 - PORTA MALAS12</v>
      </c>
      <c r="B87" s="30" t="s">
        <v>41</v>
      </c>
      <c r="C87" s="32"/>
      <c r="D87" s="31"/>
      <c r="E87" s="32" t="e">
        <f>VLOOKUP(C87,Colaboradores!$E$2:$G$33,2,FALSE)</f>
        <v>#N/A</v>
      </c>
      <c r="G87" s="34"/>
      <c r="H87" s="45"/>
    </row>
    <row r="88" spans="1:8" x14ac:dyDescent="0.45">
      <c r="A88" t="str">
        <f>B88&amp;COUNTIF($B$2:B88,B88)</f>
        <v>8 - PORTA MALAS13</v>
      </c>
      <c r="B88" s="30" t="s">
        <v>41</v>
      </c>
      <c r="C88" s="32"/>
      <c r="D88" s="31"/>
      <c r="E88" s="32" t="e">
        <f>VLOOKUP(C88,Colaboradores!$E$2:$G$33,2,FALSE)</f>
        <v>#N/A</v>
      </c>
      <c r="G88" s="34"/>
      <c r="H88" s="45"/>
    </row>
    <row r="89" spans="1:8" x14ac:dyDescent="0.45">
      <c r="A89" t="str">
        <f>B89&amp;COUNTIF($B$2:B89,B89)</f>
        <v>8 - PORTA MALAS14</v>
      </c>
      <c r="B89" s="30" t="s">
        <v>41</v>
      </c>
      <c r="C89" s="32"/>
      <c r="D89" s="31"/>
      <c r="E89" s="32" t="e">
        <f>VLOOKUP(C89,Colaboradores!$E$2:$G$33,2,FALSE)</f>
        <v>#N/A</v>
      </c>
      <c r="G89" s="34"/>
      <c r="H89" s="45"/>
    </row>
    <row r="90" spans="1:8" x14ac:dyDescent="0.45">
      <c r="A90" t="str">
        <f>B90&amp;COUNTIF($B$2:B90,B90)</f>
        <v>8 - PORTA MALAS15</v>
      </c>
      <c r="B90" s="30" t="s">
        <v>41</v>
      </c>
      <c r="C90" s="32"/>
      <c r="D90" s="31"/>
      <c r="E90" s="32" t="e">
        <f>VLOOKUP(C90,Colaboradores!$E$2:$G$33,2,FALSE)</f>
        <v>#N/A</v>
      </c>
      <c r="G90" s="34"/>
      <c r="H90" s="45"/>
    </row>
    <row r="91" spans="1:8" x14ac:dyDescent="0.45">
      <c r="A91" s="11" t="str">
        <f>B91&amp;COUNTIF($B$2:B91,B91)</f>
        <v>9 - TAMPA TRASEIRA1</v>
      </c>
      <c r="B91" s="26" t="s">
        <v>53</v>
      </c>
      <c r="C91" s="28" t="s">
        <v>3</v>
      </c>
      <c r="D91" s="27" t="s">
        <v>54</v>
      </c>
      <c r="E91" s="28" t="s">
        <v>63</v>
      </c>
      <c r="F91" s="29">
        <v>10</v>
      </c>
      <c r="G91" s="38"/>
      <c r="H91" s="45">
        <v>0</v>
      </c>
    </row>
    <row r="92" spans="1:8" x14ac:dyDescent="0.45">
      <c r="A92" s="11" t="str">
        <f>B92&amp;COUNTIF($B$2:B92,B92)</f>
        <v>9 - TAMPA TRASEIRA2</v>
      </c>
      <c r="B92" s="26" t="s">
        <v>53</v>
      </c>
      <c r="C92" s="28" t="s">
        <v>12</v>
      </c>
      <c r="D92" s="27" t="s">
        <v>55</v>
      </c>
      <c r="E92" s="28" t="s">
        <v>63</v>
      </c>
      <c r="F92" s="29">
        <v>60</v>
      </c>
      <c r="G92" s="38"/>
      <c r="H92" s="45">
        <v>0</v>
      </c>
    </row>
    <row r="93" spans="1:8" x14ac:dyDescent="0.45">
      <c r="A93" s="11" t="str">
        <f>B93&amp;COUNTIF($B$2:B93,B93)</f>
        <v>9 - TAMPA TRASEIRA3</v>
      </c>
      <c r="B93" s="26" t="s">
        <v>53</v>
      </c>
      <c r="C93" s="28" t="s">
        <v>12</v>
      </c>
      <c r="D93" s="27" t="s">
        <v>56</v>
      </c>
      <c r="E93" s="28" t="s">
        <v>63</v>
      </c>
      <c r="F93" s="29">
        <v>15</v>
      </c>
      <c r="G93" s="38"/>
      <c r="H93" s="45">
        <v>0</v>
      </c>
    </row>
    <row r="94" spans="1:8" x14ac:dyDescent="0.45">
      <c r="A94" s="11" t="str">
        <f>B94&amp;COUNTIF($B$2:B94,B94)</f>
        <v>9 - TAMPA TRASEIRA4</v>
      </c>
      <c r="B94" s="26" t="s">
        <v>53</v>
      </c>
      <c r="C94" s="28" t="s">
        <v>15</v>
      </c>
      <c r="D94" s="27" t="s">
        <v>57</v>
      </c>
      <c r="E94" s="28" t="str">
        <f>VLOOKUP(C94,Colaboradores!$E$2:$G$33,2,FALSE)</f>
        <v>Rita</v>
      </c>
      <c r="F94" s="29">
        <v>10</v>
      </c>
      <c r="G94" s="38"/>
      <c r="H94" s="45">
        <v>0</v>
      </c>
    </row>
    <row r="95" spans="1:8" x14ac:dyDescent="0.45">
      <c r="A95" s="11" t="str">
        <f>B95&amp;COUNTIF($B$2:B95,B95)</f>
        <v>9 - TAMPA TRASEIRA5</v>
      </c>
      <c r="B95" s="26" t="s">
        <v>53</v>
      </c>
      <c r="C95" s="28" t="s">
        <v>17</v>
      </c>
      <c r="D95" s="27" t="s">
        <v>58</v>
      </c>
      <c r="E95" s="28" t="str">
        <f>VLOOKUP(C95,Colaboradores!$E$2:$G$33,2,FALSE)</f>
        <v>Lohan</v>
      </c>
      <c r="F95" s="29">
        <v>15</v>
      </c>
      <c r="G95" s="38"/>
      <c r="H95" s="45">
        <v>0</v>
      </c>
    </row>
    <row r="96" spans="1:8" x14ac:dyDescent="0.45">
      <c r="A96" s="11" t="str">
        <f>B96&amp;COUNTIF($B$2:B96,B96)</f>
        <v>9 - TAMPA TRASEIRA6</v>
      </c>
      <c r="B96" s="26" t="s">
        <v>53</v>
      </c>
      <c r="C96" s="28" t="s">
        <v>27</v>
      </c>
      <c r="D96" s="27" t="s">
        <v>59</v>
      </c>
      <c r="E96" s="28" t="str">
        <f>VLOOKUP(C96,Colaboradores!$E$2:$G$33,2,FALSE)</f>
        <v>Gabriel</v>
      </c>
      <c r="F96" s="29">
        <v>40</v>
      </c>
      <c r="G96" s="38"/>
      <c r="H96" s="45">
        <v>0</v>
      </c>
    </row>
    <row r="97" spans="1:8" x14ac:dyDescent="0.45">
      <c r="A97" s="11" t="str">
        <f>B97&amp;COUNTIF($B$2:B97,B97)</f>
        <v>9 - TAMPA TRASEIRA7</v>
      </c>
      <c r="B97" s="26" t="s">
        <v>53</v>
      </c>
      <c r="C97" s="28" t="s">
        <v>49</v>
      </c>
      <c r="D97" s="27" t="s">
        <v>60</v>
      </c>
      <c r="E97" s="28" t="str">
        <f>VLOOKUP(C97,Colaboradores!$E$2:$G$33,2,FALSE)</f>
        <v>Kadu</v>
      </c>
      <c r="F97" s="29">
        <v>20</v>
      </c>
      <c r="G97" s="38"/>
      <c r="H97" s="45">
        <v>0</v>
      </c>
    </row>
    <row r="98" spans="1:8" x14ac:dyDescent="0.45">
      <c r="A98" s="11" t="str">
        <f>B98&amp;COUNTIF($B$2:B98,B98)</f>
        <v>9 - TAMPA TRASEIRA8</v>
      </c>
      <c r="B98" s="26" t="s">
        <v>53</v>
      </c>
      <c r="C98" s="28"/>
      <c r="D98" s="27"/>
      <c r="E98" s="28" t="e">
        <f>VLOOKUP(C98,Colaboradores!$E$2:$G$33,2,FALSE)</f>
        <v>#N/A</v>
      </c>
      <c r="F98" s="29"/>
      <c r="G98" s="38"/>
      <c r="H98" s="45"/>
    </row>
    <row r="99" spans="1:8" x14ac:dyDescent="0.45">
      <c r="A99" s="11" t="str">
        <f>B99&amp;COUNTIF($B$2:B99,B99)</f>
        <v>9 - TAMPA TRASEIRA9</v>
      </c>
      <c r="B99" s="26" t="s">
        <v>53</v>
      </c>
      <c r="C99" s="28"/>
      <c r="D99" s="27"/>
      <c r="E99" s="28" t="e">
        <f>VLOOKUP(C99,Colaboradores!$E$2:$G$33,2,FALSE)</f>
        <v>#N/A</v>
      </c>
      <c r="F99" s="29"/>
      <c r="G99" s="38"/>
      <c r="H99" s="45"/>
    </row>
    <row r="100" spans="1:8" x14ac:dyDescent="0.45">
      <c r="A100" s="11" t="str">
        <f>B100&amp;COUNTIF($B$2:B100,B100)</f>
        <v>9 - TAMPA TRASEIRA10</v>
      </c>
      <c r="B100" s="26" t="s">
        <v>53</v>
      </c>
      <c r="C100" s="28"/>
      <c r="D100" s="27"/>
      <c r="E100" s="28" t="e">
        <f>VLOOKUP(C100,Colaboradores!$E$2:$G$33,2,FALSE)</f>
        <v>#N/A</v>
      </c>
      <c r="F100" s="29"/>
      <c r="G100" s="38"/>
      <c r="H100" s="45"/>
    </row>
    <row r="101" spans="1:8" x14ac:dyDescent="0.45">
      <c r="A101" s="11" t="str">
        <f>B101&amp;COUNTIF($B$2:B101,B101)</f>
        <v>9 - TAMPA TRASEIRA11</v>
      </c>
      <c r="B101" s="26" t="s">
        <v>53</v>
      </c>
      <c r="C101" s="28"/>
      <c r="D101" s="27"/>
      <c r="E101" s="28" t="e">
        <f>VLOOKUP(C101,Colaboradores!$E$2:$G$33,2,FALSE)</f>
        <v>#N/A</v>
      </c>
      <c r="F101" s="29"/>
      <c r="G101" s="38"/>
      <c r="H101" s="45"/>
    </row>
    <row r="102" spans="1:8" x14ac:dyDescent="0.45">
      <c r="A102" s="11" t="str">
        <f>B102&amp;COUNTIF($B$2:B102,B102)</f>
        <v>9 - TAMPA TRASEIRA12</v>
      </c>
      <c r="B102" s="26" t="s">
        <v>53</v>
      </c>
      <c r="C102" s="28"/>
      <c r="D102" s="27"/>
      <c r="E102" s="28" t="e">
        <f>VLOOKUP(C102,Colaboradores!$E$2:$G$33,2,FALSE)</f>
        <v>#N/A</v>
      </c>
      <c r="F102" s="29"/>
      <c r="G102" s="38"/>
      <c r="H102" s="45"/>
    </row>
    <row r="103" spans="1:8" x14ac:dyDescent="0.45">
      <c r="A103" s="11" t="str">
        <f>B103&amp;COUNTIF($B$2:B103,B103)</f>
        <v>9 - TAMPA TRASEIRA13</v>
      </c>
      <c r="B103" s="26" t="s">
        <v>53</v>
      </c>
      <c r="C103" s="28"/>
      <c r="D103" s="27"/>
      <c r="E103" s="28" t="e">
        <f>VLOOKUP(C103,Colaboradores!$E$2:$G$33,2,FALSE)</f>
        <v>#N/A</v>
      </c>
      <c r="F103" s="29"/>
      <c r="G103" s="38"/>
      <c r="H103" s="45"/>
    </row>
    <row r="104" spans="1:8" x14ac:dyDescent="0.45">
      <c r="A104" t="str">
        <f>B104&amp;COUNTIF($B$2:B104,B104)</f>
        <v>10 - LATERAIS TRASEIRAS1</v>
      </c>
      <c r="B104" s="30" t="s">
        <v>61</v>
      </c>
      <c r="C104" s="32" t="s">
        <v>12</v>
      </c>
      <c r="D104" s="31" t="s">
        <v>62</v>
      </c>
      <c r="E104" s="32" t="s">
        <v>63</v>
      </c>
      <c r="F104" s="33">
        <v>10</v>
      </c>
      <c r="G104" s="34"/>
      <c r="H104" s="45">
        <v>0</v>
      </c>
    </row>
    <row r="105" spans="1:8" x14ac:dyDescent="0.45">
      <c r="A105" t="str">
        <f>B105&amp;COUNTIF($B$2:B105,B105)</f>
        <v>10 - LATERAIS TRASEIRAS2</v>
      </c>
      <c r="B105" s="30" t="s">
        <v>61</v>
      </c>
      <c r="C105" s="32" t="s">
        <v>12</v>
      </c>
      <c r="D105" s="31" t="s">
        <v>64</v>
      </c>
      <c r="E105" s="32" t="s">
        <v>63</v>
      </c>
      <c r="F105" s="33">
        <v>160</v>
      </c>
      <c r="G105" s="34"/>
      <c r="H105" s="45">
        <v>0</v>
      </c>
    </row>
    <row r="106" spans="1:8" x14ac:dyDescent="0.45">
      <c r="A106" t="str">
        <f>B106&amp;COUNTIF($B$2:B106,B106)</f>
        <v>10 - LATERAIS TRASEIRAS3</v>
      </c>
      <c r="B106" s="30" t="s">
        <v>61</v>
      </c>
      <c r="C106" s="32" t="s">
        <v>12</v>
      </c>
      <c r="D106" s="31" t="s">
        <v>56</v>
      </c>
      <c r="E106" s="32" t="s">
        <v>63</v>
      </c>
      <c r="F106" s="33">
        <v>10</v>
      </c>
      <c r="G106" s="34"/>
      <c r="H106" s="45">
        <v>0</v>
      </c>
    </row>
    <row r="107" spans="1:8" x14ac:dyDescent="0.45">
      <c r="A107" t="str">
        <f>B107&amp;COUNTIF($B$2:B107,B107)</f>
        <v>10 - LATERAIS TRASEIRAS4</v>
      </c>
      <c r="B107" s="30" t="s">
        <v>61</v>
      </c>
      <c r="C107" s="32" t="s">
        <v>12</v>
      </c>
      <c r="D107" s="31" t="s">
        <v>65</v>
      </c>
      <c r="E107" s="32" t="s">
        <v>63</v>
      </c>
      <c r="F107" s="33">
        <v>10</v>
      </c>
      <c r="G107" s="34"/>
      <c r="H107" s="45">
        <v>0</v>
      </c>
    </row>
    <row r="108" spans="1:8" x14ac:dyDescent="0.45">
      <c r="A108" t="str">
        <f>B108&amp;COUNTIF($B$2:B108,B108)</f>
        <v>10 - LATERAIS TRASEIRAS5</v>
      </c>
      <c r="B108" s="30" t="s">
        <v>61</v>
      </c>
      <c r="C108" s="32" t="s">
        <v>15</v>
      </c>
      <c r="D108" s="31" t="s">
        <v>66</v>
      </c>
      <c r="E108" s="32" t="str">
        <f>VLOOKUP(C108,Colaboradores!$E$2:$G$33,2,FALSE)</f>
        <v>Rita</v>
      </c>
      <c r="F108" s="33">
        <v>15</v>
      </c>
      <c r="G108" s="34"/>
      <c r="H108" s="45">
        <v>0</v>
      </c>
    </row>
    <row r="109" spans="1:8" x14ac:dyDescent="0.45">
      <c r="A109" t="str">
        <f>B109&amp;COUNTIF($B$2:B109,B109)</f>
        <v>10 - LATERAIS TRASEIRAS6</v>
      </c>
      <c r="B109" s="30" t="s">
        <v>61</v>
      </c>
      <c r="C109" s="32" t="s">
        <v>27</v>
      </c>
      <c r="D109" s="31" t="s">
        <v>67</v>
      </c>
      <c r="E109" s="32" t="str">
        <f>VLOOKUP(C109,Colaboradores!$E$2:$G$33,2,FALSE)</f>
        <v>Gabriel</v>
      </c>
      <c r="F109" s="33">
        <v>20</v>
      </c>
      <c r="G109" s="34"/>
      <c r="H109" s="45">
        <v>0</v>
      </c>
    </row>
    <row r="110" spans="1:8" x14ac:dyDescent="0.45">
      <c r="A110" t="str">
        <f>B110&amp;COUNTIF($B$2:B110,B110)</f>
        <v>10 - LATERAIS TRASEIRAS7</v>
      </c>
      <c r="B110" s="30" t="s">
        <v>61</v>
      </c>
      <c r="C110" s="32" t="s">
        <v>27</v>
      </c>
      <c r="D110" s="31" t="s">
        <v>68</v>
      </c>
      <c r="E110" s="32" t="str">
        <f>VLOOKUP(C110,Colaboradores!$E$2:$G$33,2,FALSE)</f>
        <v>Gabriel</v>
      </c>
      <c r="F110" s="33">
        <v>40</v>
      </c>
      <c r="G110" s="34"/>
      <c r="H110" s="45">
        <v>0</v>
      </c>
    </row>
    <row r="111" spans="1:8" x14ac:dyDescent="0.45">
      <c r="A111" t="str">
        <f>B111&amp;COUNTIF($B$2:B111,B111)</f>
        <v>10 - LATERAIS TRASEIRAS8</v>
      </c>
      <c r="B111" s="30" t="s">
        <v>61</v>
      </c>
      <c r="C111" s="32" t="s">
        <v>49</v>
      </c>
      <c r="D111" s="31" t="s">
        <v>70</v>
      </c>
      <c r="E111" s="32" t="str">
        <f>VLOOKUP(C111,Colaboradores!$E$2:$G$33,2,FALSE)</f>
        <v>Kadu</v>
      </c>
      <c r="F111" s="33">
        <v>40</v>
      </c>
      <c r="G111" s="34"/>
      <c r="H111" s="45">
        <v>0</v>
      </c>
    </row>
    <row r="112" spans="1:8" x14ac:dyDescent="0.45">
      <c r="A112" t="str">
        <f>B112&amp;COUNTIF($B$2:B112,B112)</f>
        <v>10 - LATERAIS TRASEIRAS9</v>
      </c>
      <c r="B112" s="30" t="s">
        <v>61</v>
      </c>
      <c r="C112" s="32"/>
      <c r="D112" s="31"/>
      <c r="E112" s="32" t="e">
        <f>VLOOKUP(C112,Colaboradores!$E$2:$G$33,2,FALSE)</f>
        <v>#N/A</v>
      </c>
      <c r="G112" s="34"/>
      <c r="H112" s="45"/>
    </row>
    <row r="113" spans="1:8" x14ac:dyDescent="0.45">
      <c r="A113" t="str">
        <f>B113&amp;COUNTIF($B$2:B113,B113)</f>
        <v>10 - LATERAIS TRASEIRAS10</v>
      </c>
      <c r="B113" s="30" t="s">
        <v>61</v>
      </c>
      <c r="C113" s="32"/>
      <c r="D113" s="31"/>
      <c r="E113" s="32" t="e">
        <f>VLOOKUP(C113,Colaboradores!$E$2:$G$33,2,FALSE)</f>
        <v>#N/A</v>
      </c>
      <c r="G113" s="34"/>
      <c r="H113" s="45"/>
    </row>
    <row r="114" spans="1:8" x14ac:dyDescent="0.45">
      <c r="A114" t="str">
        <f>B114&amp;COUNTIF($B$2:B114,B114)</f>
        <v>10 - LATERAIS TRASEIRAS11</v>
      </c>
      <c r="B114" s="30" t="s">
        <v>61</v>
      </c>
      <c r="C114" s="32"/>
      <c r="D114" s="31"/>
      <c r="E114" s="32" t="e">
        <f>VLOOKUP(C114,Colaboradores!$E$2:$G$33,2,FALSE)</f>
        <v>#N/A</v>
      </c>
      <c r="G114" s="34"/>
      <c r="H114" s="45"/>
    </row>
    <row r="115" spans="1:8" x14ac:dyDescent="0.45">
      <c r="A115" t="str">
        <f>B115&amp;COUNTIF($B$2:B115,B115)</f>
        <v>10 - LATERAIS TRASEIRAS12</v>
      </c>
      <c r="B115" s="30" t="s">
        <v>61</v>
      </c>
      <c r="C115" s="32"/>
      <c r="D115" s="31"/>
      <c r="E115" s="32" t="e">
        <f>VLOOKUP(C115,Colaboradores!$E$2:$G$33,2,FALSE)</f>
        <v>#N/A</v>
      </c>
      <c r="G115" s="34"/>
      <c r="H115" s="45"/>
    </row>
    <row r="116" spans="1:8" x14ac:dyDescent="0.45">
      <c r="A116" t="str">
        <f>B116&amp;COUNTIF($B$2:B116,B116)</f>
        <v>10 - LATERAIS TRASEIRAS13</v>
      </c>
      <c r="B116" s="30" t="s">
        <v>61</v>
      </c>
      <c r="C116" s="32"/>
      <c r="D116" s="31"/>
      <c r="E116" s="32" t="e">
        <f>VLOOKUP(C116,Colaboradores!$E$2:$G$33,2,FALSE)</f>
        <v>#N/A</v>
      </c>
      <c r="G116" s="34"/>
      <c r="H116" s="45"/>
    </row>
    <row r="117" spans="1:8" x14ac:dyDescent="0.45">
      <c r="A117" t="str">
        <f>B117&amp;COUNTIF($B$2:B117,B117)</f>
        <v>10 - LATERAIS TRASEIRAS14</v>
      </c>
      <c r="B117" s="30" t="s">
        <v>61</v>
      </c>
      <c r="C117" s="32"/>
      <c r="D117" s="31"/>
      <c r="E117" s="32" t="e">
        <f>VLOOKUP(C117,Colaboradores!$E$2:$G$33,2,FALSE)</f>
        <v>#N/A</v>
      </c>
      <c r="G117" s="34"/>
      <c r="H117" s="45"/>
    </row>
    <row r="118" spans="1:8" x14ac:dyDescent="0.45">
      <c r="A118" t="str">
        <f>B118&amp;COUNTIF($B$2:B118,B118)</f>
        <v>10 - LATERAIS TRASEIRAS15</v>
      </c>
      <c r="B118" s="30" t="s">
        <v>61</v>
      </c>
      <c r="C118" s="32"/>
      <c r="D118" s="31"/>
      <c r="E118" s="32" t="e">
        <f>VLOOKUP(C118,Colaboradores!$E$2:$G$33,2,FALSE)</f>
        <v>#N/A</v>
      </c>
      <c r="G118" s="34"/>
      <c r="H118" s="45"/>
    </row>
    <row r="119" spans="1:8" x14ac:dyDescent="0.45">
      <c r="A119" s="11" t="str">
        <f>B119&amp;COUNTIF($B$2:B119,B119)</f>
        <v>11 - OMBREIRA1</v>
      </c>
      <c r="B119" s="26" t="s">
        <v>71</v>
      </c>
      <c r="C119" s="28" t="s">
        <v>12</v>
      </c>
      <c r="D119" s="27" t="s">
        <v>72</v>
      </c>
      <c r="E119" s="28" t="str">
        <f>VLOOKUP(C119,Colaboradores!$E$2:$G$33,2,FALSE)</f>
        <v>Nikolas</v>
      </c>
      <c r="F119" s="29">
        <v>10</v>
      </c>
      <c r="G119" s="38"/>
      <c r="H119" s="45">
        <v>0</v>
      </c>
    </row>
    <row r="120" spans="1:8" x14ac:dyDescent="0.45">
      <c r="A120" s="11" t="str">
        <f>B120&amp;COUNTIF($B$2:B120,B120)</f>
        <v>11 - OMBREIRA2</v>
      </c>
      <c r="B120" s="26" t="s">
        <v>71</v>
      </c>
      <c r="C120" s="28" t="s">
        <v>12</v>
      </c>
      <c r="D120" s="27" t="s">
        <v>74</v>
      </c>
      <c r="E120" s="28" t="str">
        <f>VLOOKUP(C120,Colaboradores!$E$2:$G$33,2,FALSE)</f>
        <v>Nikolas</v>
      </c>
      <c r="F120" s="29">
        <v>120</v>
      </c>
      <c r="G120" s="38"/>
      <c r="H120" s="45">
        <v>0</v>
      </c>
    </row>
    <row r="121" spans="1:8" x14ac:dyDescent="0.45">
      <c r="A121" s="11" t="str">
        <f>B121&amp;COUNTIF($B$2:B121,B121)</f>
        <v>11 - OMBREIRA3</v>
      </c>
      <c r="B121" s="26" t="s">
        <v>71</v>
      </c>
      <c r="C121" s="28" t="s">
        <v>12</v>
      </c>
      <c r="D121" s="27" t="s">
        <v>56</v>
      </c>
      <c r="E121" s="28" t="str">
        <f>VLOOKUP(C121,Colaboradores!$E$2:$G$33,2,FALSE)</f>
        <v>Nikolas</v>
      </c>
      <c r="F121" s="29">
        <v>10</v>
      </c>
      <c r="G121" s="38"/>
      <c r="H121" s="45">
        <v>0</v>
      </c>
    </row>
    <row r="122" spans="1:8" x14ac:dyDescent="0.45">
      <c r="A122" s="11" t="str">
        <f>B122&amp;COUNTIF($B$2:B122,B122)</f>
        <v>11 - OMBREIRA4</v>
      </c>
      <c r="B122" s="26" t="s">
        <v>71</v>
      </c>
      <c r="C122" s="28" t="s">
        <v>15</v>
      </c>
      <c r="D122" s="27" t="s">
        <v>75</v>
      </c>
      <c r="E122" s="28" t="str">
        <f>VLOOKUP(C122,Colaboradores!$E$2:$G$33,2,FALSE)</f>
        <v>Rita</v>
      </c>
      <c r="F122" s="29">
        <v>10</v>
      </c>
      <c r="G122" s="38"/>
      <c r="H122" s="45">
        <v>0</v>
      </c>
    </row>
    <row r="123" spans="1:8" x14ac:dyDescent="0.45">
      <c r="A123" s="11" t="str">
        <f>B123&amp;COUNTIF($B$2:B123,B123)</f>
        <v>11 - OMBREIRA5</v>
      </c>
      <c r="B123" s="26" t="s">
        <v>71</v>
      </c>
      <c r="C123" s="28" t="s">
        <v>27</v>
      </c>
      <c r="D123" s="27" t="s">
        <v>76</v>
      </c>
      <c r="E123" s="28" t="str">
        <f>VLOOKUP(C123,Colaboradores!$E$2:$G$33,2,FALSE)</f>
        <v>Gabriel</v>
      </c>
      <c r="F123" s="29">
        <v>25</v>
      </c>
      <c r="G123" s="38"/>
      <c r="H123" s="45">
        <v>0</v>
      </c>
    </row>
    <row r="124" spans="1:8" ht="15" customHeight="1" x14ac:dyDescent="0.45">
      <c r="A124" s="11" t="str">
        <f>B124&amp;COUNTIF($B$2:B124,B124)</f>
        <v>11 - OMBREIRA6</v>
      </c>
      <c r="B124" s="26" t="s">
        <v>71</v>
      </c>
      <c r="C124" s="28" t="s">
        <v>27</v>
      </c>
      <c r="D124" s="27" t="s">
        <v>77</v>
      </c>
      <c r="E124" s="28" t="str">
        <f>VLOOKUP(C124,Colaboradores!$E$2:$G$33,2,FALSE)</f>
        <v>Gabriel</v>
      </c>
      <c r="F124" s="29">
        <v>30</v>
      </c>
      <c r="G124" s="38"/>
      <c r="H124" s="45">
        <v>0</v>
      </c>
    </row>
    <row r="125" spans="1:8" x14ac:dyDescent="0.45">
      <c r="A125" s="11" t="str">
        <f>B125&amp;COUNTIF($B$2:B125,B125)</f>
        <v>11 - OMBREIRA7</v>
      </c>
      <c r="B125" s="26" t="s">
        <v>71</v>
      </c>
      <c r="C125" s="28" t="s">
        <v>78</v>
      </c>
      <c r="D125" s="27" t="s">
        <v>170</v>
      </c>
      <c r="E125" s="28" t="str">
        <f>VLOOKUP(C125,Colaboradores!$E$2:$G$33,2,FALSE)</f>
        <v>Arthur</v>
      </c>
      <c r="F125" s="29">
        <v>90</v>
      </c>
      <c r="G125" s="38"/>
      <c r="H125" s="45">
        <v>0</v>
      </c>
    </row>
    <row r="126" spans="1:8" x14ac:dyDescent="0.45">
      <c r="A126" s="11" t="str">
        <f>B126&amp;COUNTIF($B$2:B126,B126)</f>
        <v>11 - OMBREIRA8</v>
      </c>
      <c r="B126" s="26" t="s">
        <v>71</v>
      </c>
      <c r="C126" s="28"/>
      <c r="D126" s="27"/>
      <c r="E126" s="28" t="e">
        <f>VLOOKUP(C126,Colaboradores!$E$2:$G$33,2,FALSE)</f>
        <v>#N/A</v>
      </c>
      <c r="F126" s="29"/>
      <c r="G126" s="38"/>
      <c r="H126" s="45"/>
    </row>
    <row r="127" spans="1:8" x14ac:dyDescent="0.45">
      <c r="A127" s="11" t="str">
        <f>B127&amp;COUNTIF($B$2:B127,B127)</f>
        <v>11 - OMBREIRA9</v>
      </c>
      <c r="B127" s="26" t="s">
        <v>71</v>
      </c>
      <c r="C127" s="28"/>
      <c r="D127" s="27"/>
      <c r="E127" s="28" t="e">
        <f>VLOOKUP(C127,Colaboradores!$E$2:$G$33,2,FALSE)</f>
        <v>#N/A</v>
      </c>
      <c r="F127" s="29"/>
      <c r="G127" s="38"/>
      <c r="H127" s="45"/>
    </row>
    <row r="128" spans="1:8" x14ac:dyDescent="0.45">
      <c r="A128" s="11" t="str">
        <f>B128&amp;COUNTIF($B$2:B128,B128)</f>
        <v>11 - OMBREIRA10</v>
      </c>
      <c r="B128" s="26" t="s">
        <v>71</v>
      </c>
      <c r="C128" s="28"/>
      <c r="D128" s="27"/>
      <c r="E128" s="28" t="e">
        <f>VLOOKUP(C128,Colaboradores!$E$2:$G$33,2,FALSE)</f>
        <v>#N/A</v>
      </c>
      <c r="F128" s="29"/>
      <c r="G128" s="38"/>
      <c r="H128" s="45"/>
    </row>
    <row r="129" spans="1:8" x14ac:dyDescent="0.45">
      <c r="A129" s="11" t="str">
        <f>B129&amp;COUNTIF($B$2:B129,B129)</f>
        <v>11 - OMBREIRA11</v>
      </c>
      <c r="B129" s="26" t="s">
        <v>71</v>
      </c>
      <c r="C129" s="28"/>
      <c r="D129" s="27"/>
      <c r="E129" s="28" t="e">
        <f>VLOOKUP(C129,Colaboradores!$E$2:$G$33,2,FALSE)</f>
        <v>#N/A</v>
      </c>
      <c r="F129" s="29"/>
      <c r="G129" s="38"/>
      <c r="H129" s="45"/>
    </row>
    <row r="130" spans="1:8" x14ac:dyDescent="0.45">
      <c r="A130" s="11" t="str">
        <f>B130&amp;COUNTIF($B$2:B130,B130)</f>
        <v>11 - OMBREIRA12</v>
      </c>
      <c r="B130" s="26" t="s">
        <v>71</v>
      </c>
      <c r="C130" s="28"/>
      <c r="D130" s="27"/>
      <c r="E130" s="28" t="e">
        <f>VLOOKUP(C130,Colaboradores!$E$2:$G$33,2,FALSE)</f>
        <v>#N/A</v>
      </c>
      <c r="F130" s="29"/>
      <c r="G130" s="38"/>
      <c r="H130" s="45"/>
    </row>
    <row r="131" spans="1:8" x14ac:dyDescent="0.45">
      <c r="A131" s="11" t="str">
        <f>B131&amp;COUNTIF($B$2:B131,B131)</f>
        <v>11 - OMBREIRA13</v>
      </c>
      <c r="B131" s="26" t="s">
        <v>71</v>
      </c>
      <c r="C131" s="28"/>
      <c r="D131" s="27"/>
      <c r="E131" s="28" t="e">
        <f>VLOOKUP(C131,Colaboradores!$E$2:$G$33,2,FALSE)</f>
        <v>#N/A</v>
      </c>
      <c r="F131" s="29"/>
      <c r="G131" s="38"/>
      <c r="H131" s="45"/>
    </row>
    <row r="132" spans="1:8" x14ac:dyDescent="0.45">
      <c r="A132" s="11" t="str">
        <f>B132&amp;COUNTIF($B$2:B132,B132)</f>
        <v>11 - OMBREIRA14</v>
      </c>
      <c r="B132" s="26" t="s">
        <v>71</v>
      </c>
      <c r="C132" s="28"/>
      <c r="D132" s="27"/>
      <c r="E132" s="28" t="e">
        <f>VLOOKUP(C132,Colaboradores!$E$2:$G$33,2,FALSE)</f>
        <v>#N/A</v>
      </c>
      <c r="F132" s="29"/>
      <c r="G132" s="38"/>
      <c r="H132" s="45"/>
    </row>
    <row r="133" spans="1:8" x14ac:dyDescent="0.45">
      <c r="A133" s="11" t="str">
        <f>B133&amp;COUNTIF($B$2:B133,B133)</f>
        <v>11 - OMBREIRA15</v>
      </c>
      <c r="B133" s="26" t="s">
        <v>71</v>
      </c>
      <c r="C133" s="28"/>
      <c r="D133" s="27"/>
      <c r="E133" s="28" t="e">
        <f>VLOOKUP(C133,Colaboradores!$E$2:$G$33,2,FALSE)</f>
        <v>#N/A</v>
      </c>
      <c r="F133" s="29"/>
      <c r="G133" s="38"/>
      <c r="H133" s="45"/>
    </row>
    <row r="134" spans="1:8" x14ac:dyDescent="0.45">
      <c r="A134" t="str">
        <f>B134&amp;COUNTIF($B$2:B134,B134)</f>
        <v>12 - FORROS DE PORTAS1</v>
      </c>
      <c r="B134" s="30" t="s">
        <v>79</v>
      </c>
      <c r="C134" s="32" t="s">
        <v>12</v>
      </c>
      <c r="D134" s="31" t="s">
        <v>80</v>
      </c>
      <c r="E134" s="32" t="str">
        <f>VLOOKUP(C134,Colaboradores!$E$2:$G$33,2,FALSE)</f>
        <v>Nikolas</v>
      </c>
      <c r="F134" s="33">
        <v>20</v>
      </c>
      <c r="G134" s="34"/>
      <c r="H134" s="45">
        <v>0</v>
      </c>
    </row>
    <row r="135" spans="1:8" x14ac:dyDescent="0.45">
      <c r="A135" t="str">
        <f>B135&amp;COUNTIF($B$2:B135,B135)</f>
        <v>12 - FORROS DE PORTAS2</v>
      </c>
      <c r="B135" s="30" t="s">
        <v>79</v>
      </c>
      <c r="C135" s="32" t="s">
        <v>27</v>
      </c>
      <c r="D135" s="31" t="s">
        <v>81</v>
      </c>
      <c r="E135" s="32" t="str">
        <f>VLOOKUP(C135,Colaboradores!$E$2:$G$33,2,FALSE)</f>
        <v>Gabriel</v>
      </c>
      <c r="F135" s="33">
        <v>10</v>
      </c>
      <c r="G135" s="34"/>
      <c r="H135" s="45">
        <v>0</v>
      </c>
    </row>
    <row r="136" spans="1:8" x14ac:dyDescent="0.45">
      <c r="A136" t="str">
        <f>B136&amp;COUNTIF($B$2:B136,B136)</f>
        <v>12 - FORROS DE PORTAS3</v>
      </c>
      <c r="B136" s="30" t="s">
        <v>79</v>
      </c>
      <c r="C136" s="32" t="s">
        <v>12</v>
      </c>
      <c r="D136" s="31" t="s">
        <v>82</v>
      </c>
      <c r="E136" s="32" t="str">
        <f>VLOOKUP(C136,Colaboradores!$E$2:$G$33,2,FALSE)</f>
        <v>Nikolas</v>
      </c>
      <c r="F136" s="33">
        <v>40</v>
      </c>
      <c r="G136" s="34"/>
      <c r="H136" s="45">
        <v>0</v>
      </c>
    </row>
    <row r="137" spans="1:8" x14ac:dyDescent="0.45">
      <c r="A137" t="str">
        <f>B137&amp;COUNTIF($B$2:B137,B137)</f>
        <v>12 - FORROS DE PORTAS4</v>
      </c>
      <c r="B137" s="30" t="s">
        <v>79</v>
      </c>
      <c r="C137" s="32" t="s">
        <v>15</v>
      </c>
      <c r="D137" s="31" t="s">
        <v>83</v>
      </c>
      <c r="E137" s="32" t="str">
        <f>VLOOKUP(C137,Colaboradores!$E$2:$G$33,2,FALSE)</f>
        <v>Rita</v>
      </c>
      <c r="F137" s="33">
        <v>40</v>
      </c>
      <c r="G137" s="34"/>
      <c r="H137" s="45">
        <v>0</v>
      </c>
    </row>
    <row r="138" spans="1:8" x14ac:dyDescent="0.45">
      <c r="A138" t="str">
        <f>B138&amp;COUNTIF($B$2:B138,B138)</f>
        <v>12 - FORROS DE PORTAS5</v>
      </c>
      <c r="B138" s="30" t="s">
        <v>79</v>
      </c>
      <c r="C138" s="32" t="s">
        <v>27</v>
      </c>
      <c r="D138" s="31" t="s">
        <v>84</v>
      </c>
      <c r="E138" s="32" t="str">
        <f>VLOOKUP(C138,Colaboradores!$E$2:$G$33,2,FALSE)</f>
        <v>Gabriel</v>
      </c>
      <c r="F138" s="33">
        <v>10</v>
      </c>
      <c r="G138" s="34"/>
      <c r="H138" s="45">
        <v>0</v>
      </c>
    </row>
    <row r="139" spans="1:8" x14ac:dyDescent="0.45">
      <c r="A139" t="str">
        <f>B139&amp;COUNTIF($B$2:B139,B139)</f>
        <v>12 - FORROS DE PORTAS6</v>
      </c>
      <c r="B139" s="30" t="s">
        <v>79</v>
      </c>
      <c r="C139" s="32" t="s">
        <v>27</v>
      </c>
      <c r="D139" s="31" t="s">
        <v>85</v>
      </c>
      <c r="E139" s="32" t="str">
        <f>VLOOKUP(C139,Colaboradores!$E$2:$G$33,2,FALSE)</f>
        <v>Gabriel</v>
      </c>
      <c r="F139" s="33">
        <v>5</v>
      </c>
      <c r="G139" s="34"/>
      <c r="H139" s="45">
        <v>0</v>
      </c>
    </row>
    <row r="140" spans="1:8" x14ac:dyDescent="0.45">
      <c r="A140" t="str">
        <f>B140&amp;COUNTIF($B$2:B140,B140)</f>
        <v>12 - FORROS DE PORTAS7</v>
      </c>
      <c r="B140" s="30" t="s">
        <v>79</v>
      </c>
      <c r="C140" s="32" t="s">
        <v>27</v>
      </c>
      <c r="D140" s="31" t="s">
        <v>86</v>
      </c>
      <c r="E140" s="32" t="str">
        <f>VLOOKUP(C140,Colaboradores!$E$2:$G$33,2,FALSE)</f>
        <v>Gabriel</v>
      </c>
      <c r="F140" s="33">
        <v>30</v>
      </c>
      <c r="G140" s="34"/>
      <c r="H140" s="45">
        <v>0</v>
      </c>
    </row>
    <row r="141" spans="1:8" x14ac:dyDescent="0.45">
      <c r="A141" t="str">
        <f>B141&amp;COUNTIF($B$2:B141,B141)</f>
        <v>12 - FORROS DE PORTAS8</v>
      </c>
      <c r="B141" s="30" t="s">
        <v>79</v>
      </c>
      <c r="C141" s="32" t="s">
        <v>46</v>
      </c>
      <c r="D141" s="31" t="s">
        <v>87</v>
      </c>
      <c r="E141" s="32" t="str">
        <f>VLOOKUP(C141,Colaboradores!$E$2:$G$33,2,FALSE)</f>
        <v>Arthur</v>
      </c>
      <c r="F141" s="33">
        <v>70</v>
      </c>
      <c r="G141" s="34"/>
      <c r="H141" s="45">
        <v>0</v>
      </c>
    </row>
    <row r="142" spans="1:8" x14ac:dyDescent="0.45">
      <c r="A142" t="str">
        <f>B142&amp;COUNTIF($B$2:B142,B142)</f>
        <v>12 - FORROS DE PORTAS9</v>
      </c>
      <c r="B142" s="30" t="s">
        <v>79</v>
      </c>
      <c r="C142" s="32" t="s">
        <v>46</v>
      </c>
      <c r="D142" s="31" t="s">
        <v>88</v>
      </c>
      <c r="E142" s="32" t="str">
        <f>VLOOKUP(C142,Colaboradores!$E$2:$G$33,2,FALSE)</f>
        <v>Arthur</v>
      </c>
      <c r="F142" s="33">
        <v>50</v>
      </c>
      <c r="G142" s="34"/>
      <c r="H142" s="45">
        <v>0</v>
      </c>
    </row>
    <row r="143" spans="1:8" x14ac:dyDescent="0.45">
      <c r="A143" t="str">
        <f>B143&amp;COUNTIF($B$2:B143,B143)</f>
        <v>12 - FORROS DE PORTAS10</v>
      </c>
      <c r="B143" s="30" t="s">
        <v>79</v>
      </c>
      <c r="C143" s="32" t="s">
        <v>27</v>
      </c>
      <c r="D143" s="31" t="s">
        <v>89</v>
      </c>
      <c r="E143" s="32" t="str">
        <f>VLOOKUP(C143,Colaboradores!$E$2:$G$33,2,FALSE)</f>
        <v>Gabriel</v>
      </c>
      <c r="F143" s="33">
        <v>10</v>
      </c>
      <c r="G143" s="34"/>
      <c r="H143" s="45">
        <v>0</v>
      </c>
    </row>
    <row r="144" spans="1:8" x14ac:dyDescent="0.45">
      <c r="A144" t="str">
        <f>B144&amp;COUNTIF($B$2:B144,B144)</f>
        <v>12 - FORROS DE PORTAS11</v>
      </c>
      <c r="B144" s="30" t="s">
        <v>79</v>
      </c>
      <c r="C144" s="32" t="s">
        <v>27</v>
      </c>
      <c r="D144" s="31" t="s">
        <v>90</v>
      </c>
      <c r="E144" s="32" t="str">
        <f>VLOOKUP(C144,Colaboradores!$E$2:$G$33,2,FALSE)</f>
        <v>Gabriel</v>
      </c>
      <c r="F144" s="33">
        <v>20</v>
      </c>
      <c r="G144" s="34"/>
      <c r="H144" s="45">
        <v>0</v>
      </c>
    </row>
    <row r="145" spans="1:8" x14ac:dyDescent="0.45">
      <c r="A145" t="str">
        <f>B145&amp;COUNTIF($B$2:B145,B145)</f>
        <v>12 - FORROS DE PORTAS12</v>
      </c>
      <c r="B145" s="30" t="s">
        <v>79</v>
      </c>
      <c r="C145" s="32" t="s">
        <v>78</v>
      </c>
      <c r="D145" s="31" t="s">
        <v>91</v>
      </c>
      <c r="E145" s="32" t="str">
        <f>VLOOKUP(C145,Colaboradores!$E$2:$G$33,2,FALSE)</f>
        <v>Arthur</v>
      </c>
      <c r="F145" s="33">
        <v>20</v>
      </c>
      <c r="G145" s="34"/>
      <c r="H145" s="45">
        <v>0</v>
      </c>
    </row>
    <row r="146" spans="1:8" x14ac:dyDescent="0.45">
      <c r="A146" t="str">
        <f>B146&amp;COUNTIF($B$2:B146,B146)</f>
        <v>12 - FORROS DE PORTAS13</v>
      </c>
      <c r="B146" s="30" t="s">
        <v>79</v>
      </c>
      <c r="C146" s="32" t="s">
        <v>27</v>
      </c>
      <c r="D146" s="31" t="s">
        <v>92</v>
      </c>
      <c r="E146" s="32" t="str">
        <f>VLOOKUP(C146,Colaboradores!$E$2:$G$33,2,FALSE)</f>
        <v>Gabriel</v>
      </c>
      <c r="F146" s="33">
        <v>20</v>
      </c>
      <c r="G146" s="34"/>
      <c r="H146" s="45">
        <v>0</v>
      </c>
    </row>
    <row r="147" spans="1:8" x14ac:dyDescent="0.45">
      <c r="A147" t="str">
        <f>B147&amp;COUNTIF($B$2:B147,B147)</f>
        <v>12 - FORROS DE PORTAS14</v>
      </c>
      <c r="B147" s="30" t="s">
        <v>79</v>
      </c>
      <c r="C147" s="32" t="s">
        <v>49</v>
      </c>
      <c r="D147" s="31" t="s">
        <v>93</v>
      </c>
      <c r="E147" s="32" t="str">
        <f>VLOOKUP(C147,Colaboradores!$E$2:$G$33,2,FALSE)</f>
        <v>Kadu</v>
      </c>
      <c r="F147" s="33">
        <v>20</v>
      </c>
      <c r="G147" s="34"/>
      <c r="H147" s="45">
        <v>0</v>
      </c>
    </row>
    <row r="148" spans="1:8" x14ac:dyDescent="0.45">
      <c r="A148" t="str">
        <f>B148&amp;COUNTIF($B$2:B148,B148)</f>
        <v>12 - FORROS DE PORTAS15</v>
      </c>
      <c r="B148" s="30" t="s">
        <v>79</v>
      </c>
      <c r="C148" s="32"/>
      <c r="D148" s="31"/>
      <c r="E148" s="32" t="e">
        <f>VLOOKUP(C148,Colaboradores!$E$2:$G$33,2,FALSE)</f>
        <v>#N/A</v>
      </c>
      <c r="G148" s="34"/>
      <c r="H148" s="45"/>
    </row>
    <row r="149" spans="1:8" x14ac:dyDescent="0.45">
      <c r="A149" t="str">
        <f>B149&amp;COUNTIF($B$2:B149,B149)</f>
        <v>12 - FORROS DE PORTAS16</v>
      </c>
      <c r="B149" s="30" t="s">
        <v>79</v>
      </c>
      <c r="C149" s="32"/>
      <c r="D149" s="31"/>
      <c r="E149" s="32" t="e">
        <f>VLOOKUP(C149,Colaboradores!$E$2:$G$33,2,FALSE)</f>
        <v>#N/A</v>
      </c>
      <c r="G149" s="34"/>
      <c r="H149" s="45"/>
    </row>
    <row r="150" spans="1:8" x14ac:dyDescent="0.45">
      <c r="A150" t="str">
        <f>B150&amp;COUNTIF($B$2:B150,B150)</f>
        <v>12 - FORROS DE PORTAS17</v>
      </c>
      <c r="B150" s="30" t="s">
        <v>79</v>
      </c>
      <c r="C150" s="32"/>
      <c r="D150" s="31"/>
      <c r="E150" s="32" t="e">
        <f>VLOOKUP(C150,Colaboradores!$E$2:$G$33,2,FALSE)</f>
        <v>#N/A</v>
      </c>
      <c r="G150" s="34"/>
      <c r="H150" s="45"/>
    </row>
    <row r="151" spans="1:8" x14ac:dyDescent="0.45">
      <c r="A151" t="str">
        <f>B151&amp;COUNTIF($B$2:B151,B151)</f>
        <v>12 - FORROS DE PORTAS18</v>
      </c>
      <c r="B151" s="30" t="s">
        <v>79</v>
      </c>
      <c r="C151" s="32"/>
      <c r="D151" s="31"/>
      <c r="E151" s="32" t="e">
        <f>VLOOKUP(C151,Colaboradores!$E$2:$G$33,2,FALSE)</f>
        <v>#N/A</v>
      </c>
      <c r="G151" s="34"/>
      <c r="H151" s="45"/>
    </row>
    <row r="152" spans="1:8" x14ac:dyDescent="0.45">
      <c r="A152" t="str">
        <f>B152&amp;COUNTIF($B$2:B152,B152)</f>
        <v>12 - FORROS DE PORTAS19</v>
      </c>
      <c r="B152" s="30" t="s">
        <v>79</v>
      </c>
      <c r="C152" s="32"/>
      <c r="D152" s="31"/>
      <c r="E152" s="32" t="e">
        <f>VLOOKUP(C152,Colaboradores!$E$2:$G$33,2,FALSE)</f>
        <v>#N/A</v>
      </c>
      <c r="G152" s="34"/>
      <c r="H152" s="45"/>
    </row>
    <row r="153" spans="1:8" x14ac:dyDescent="0.45">
      <c r="A153" t="str">
        <f>B153&amp;COUNTIF($B$2:B153,B153)</f>
        <v>12 - FORROS DE PORTAS20</v>
      </c>
      <c r="B153" s="30" t="s">
        <v>79</v>
      </c>
      <c r="C153" s="32"/>
      <c r="D153" s="31"/>
      <c r="E153" s="32" t="e">
        <f>VLOOKUP(C153,Colaboradores!$E$2:$G$33,2,FALSE)</f>
        <v>#N/A</v>
      </c>
      <c r="G153" s="34"/>
      <c r="H153" s="45"/>
    </row>
    <row r="154" spans="1:8" x14ac:dyDescent="0.45">
      <c r="A154" t="str">
        <f>B154&amp;COUNTIF($B$2:B154,B154)</f>
        <v>12 - FORROS DE PORTAS21</v>
      </c>
      <c r="B154" s="30" t="s">
        <v>79</v>
      </c>
      <c r="C154" s="32"/>
      <c r="D154" s="31"/>
      <c r="E154" s="32" t="e">
        <f>VLOOKUP(C154,Colaboradores!$E$2:$G$33,2,FALSE)</f>
        <v>#N/A</v>
      </c>
      <c r="G154" s="34"/>
      <c r="H154" s="45"/>
    </row>
    <row r="155" spans="1:8" x14ac:dyDescent="0.45">
      <c r="A155" s="11" t="str">
        <f>B155&amp;COUNTIF($B$2:B155,B155)</f>
        <v>13 - ACABAMENTOS1</v>
      </c>
      <c r="B155" s="26" t="s">
        <v>94</v>
      </c>
      <c r="C155" s="28" t="s">
        <v>29</v>
      </c>
      <c r="D155" s="27" t="s">
        <v>95</v>
      </c>
      <c r="E155" s="28" t="str">
        <f>VLOOKUP(C155,Colaboradores!$E$2:$G$33,2,FALSE)</f>
        <v>Arthur</v>
      </c>
      <c r="F155" s="29">
        <v>15</v>
      </c>
      <c r="G155" s="38"/>
      <c r="H155" s="45">
        <v>0</v>
      </c>
    </row>
    <row r="156" spans="1:8" x14ac:dyDescent="0.45">
      <c r="A156" s="11" t="str">
        <f>B156&amp;COUNTIF($B$2:B156,B156)</f>
        <v>13 - ACABAMENTOS2</v>
      </c>
      <c r="B156" s="26" t="s">
        <v>94</v>
      </c>
      <c r="C156" s="28" t="s">
        <v>29</v>
      </c>
      <c r="D156" s="27" t="s">
        <v>96</v>
      </c>
      <c r="E156" s="28" t="str">
        <f>VLOOKUP(C156,Colaboradores!$E$2:$G$33,2,FALSE)</f>
        <v>Arthur</v>
      </c>
      <c r="F156" s="35"/>
      <c r="G156" s="36"/>
      <c r="H156" s="45"/>
    </row>
    <row r="157" spans="1:8" x14ac:dyDescent="0.45">
      <c r="A157" s="11" t="str">
        <f>B157&amp;COUNTIF($B$2:B157,B157)</f>
        <v>13 - ACABAMENTOS3</v>
      </c>
      <c r="B157" s="26" t="s">
        <v>94</v>
      </c>
      <c r="C157" s="28" t="s">
        <v>29</v>
      </c>
      <c r="D157" s="27" t="s">
        <v>97</v>
      </c>
      <c r="E157" s="28" t="str">
        <f>VLOOKUP(C157,Colaboradores!$E$2:$G$33,2,FALSE)</f>
        <v>Arthur</v>
      </c>
      <c r="F157" s="35"/>
      <c r="G157" s="36"/>
      <c r="H157" s="45"/>
    </row>
    <row r="158" spans="1:8" x14ac:dyDescent="0.45">
      <c r="A158" s="11" t="str">
        <f>B158&amp;COUNTIF($B$2:B158,B158)</f>
        <v>13 - ACABAMENTOS4</v>
      </c>
      <c r="B158" s="26" t="s">
        <v>94</v>
      </c>
      <c r="C158" s="28" t="s">
        <v>29</v>
      </c>
      <c r="D158" s="27" t="s">
        <v>98</v>
      </c>
      <c r="E158" s="28" t="str">
        <f>VLOOKUP(C158,Colaboradores!$E$2:$G$33,2,FALSE)</f>
        <v>Arthur</v>
      </c>
      <c r="F158" s="35"/>
      <c r="G158" s="36"/>
      <c r="H158" s="45"/>
    </row>
    <row r="159" spans="1:8" x14ac:dyDescent="0.45">
      <c r="A159" s="11" t="str">
        <f>B159&amp;COUNTIF($B$2:B159,B159)</f>
        <v>13 - ACABAMENTOS5</v>
      </c>
      <c r="B159" s="26" t="s">
        <v>94</v>
      </c>
      <c r="C159" s="28" t="s">
        <v>29</v>
      </c>
      <c r="D159" s="27" t="s">
        <v>99</v>
      </c>
      <c r="E159" s="28" t="str">
        <f>VLOOKUP(C159,Colaboradores!$E$2:$G$33,2,FALSE)</f>
        <v>Arthur</v>
      </c>
      <c r="F159" s="29"/>
      <c r="G159" s="38"/>
      <c r="H159" s="45"/>
    </row>
    <row r="160" spans="1:8" x14ac:dyDescent="0.45">
      <c r="A160" s="11" t="str">
        <f>B160&amp;COUNTIF($B$2:B160,B160)</f>
        <v>13 - ACABAMENTOS6</v>
      </c>
      <c r="B160" s="26" t="s">
        <v>94</v>
      </c>
      <c r="C160" s="28"/>
      <c r="D160" s="27"/>
      <c r="E160" s="28" t="e">
        <f>VLOOKUP(C160,Colaboradores!$E$2:$G$33,2,FALSE)</f>
        <v>#N/A</v>
      </c>
      <c r="F160" s="29"/>
      <c r="G160" s="38"/>
      <c r="H160" s="45"/>
    </row>
    <row r="161" spans="1:8" x14ac:dyDescent="0.45">
      <c r="A161" s="11" t="str">
        <f>B161&amp;COUNTIF($B$2:B161,B161)</f>
        <v>13 - ACABAMENTOS7</v>
      </c>
      <c r="B161" s="26" t="s">
        <v>94</v>
      </c>
      <c r="C161" s="28"/>
      <c r="D161" s="27"/>
      <c r="E161" s="28" t="e">
        <f>VLOOKUP(C161,Colaboradores!$E$2:$G$33,2,FALSE)</f>
        <v>#N/A</v>
      </c>
      <c r="F161" s="29"/>
      <c r="G161" s="38"/>
      <c r="H161" s="45"/>
    </row>
    <row r="162" spans="1:8" x14ac:dyDescent="0.45">
      <c r="A162" s="11" t="str">
        <f>B162&amp;COUNTIF($B$2:B162,B162)</f>
        <v>13 - ACABAMENTOS8</v>
      </c>
      <c r="B162" s="26" t="s">
        <v>94</v>
      </c>
      <c r="C162" s="28"/>
      <c r="D162" s="27"/>
      <c r="E162" s="28" t="e">
        <f>VLOOKUP(C162,Colaboradores!$E$2:$G$33,2,FALSE)</f>
        <v>#N/A</v>
      </c>
      <c r="F162" s="29"/>
      <c r="G162" s="38"/>
      <c r="H162" s="45"/>
    </row>
    <row r="163" spans="1:8" x14ac:dyDescent="0.45">
      <c r="A163" s="11" t="str">
        <f>B163&amp;COUNTIF($B$2:B163,B163)</f>
        <v>13 - ACABAMENTOS9</v>
      </c>
      <c r="B163" s="26" t="s">
        <v>94</v>
      </c>
      <c r="C163" s="28"/>
      <c r="D163" s="27"/>
      <c r="E163" s="28" t="e">
        <f>VLOOKUP(C163,Colaboradores!$E$2:$G$33,2,FALSE)</f>
        <v>#N/A</v>
      </c>
      <c r="F163" s="29"/>
      <c r="G163" s="38"/>
      <c r="H163" s="45"/>
    </row>
    <row r="164" spans="1:8" x14ac:dyDescent="0.45">
      <c r="A164" s="11" t="str">
        <f>B164&amp;COUNTIF($B$2:B164,B164)</f>
        <v>13 - ACABAMENTOS10</v>
      </c>
      <c r="B164" s="26" t="s">
        <v>94</v>
      </c>
      <c r="C164" s="28"/>
      <c r="D164" s="27"/>
      <c r="E164" s="28" t="e">
        <f>VLOOKUP(C164,Colaboradores!$E$2:$G$33,2,FALSE)</f>
        <v>#N/A</v>
      </c>
      <c r="F164" s="29"/>
      <c r="G164" s="38"/>
      <c r="H164" s="45"/>
    </row>
    <row r="165" spans="1:8" x14ac:dyDescent="0.45">
      <c r="A165" s="11" t="str">
        <f>B165&amp;COUNTIF($B$2:B165,B165)</f>
        <v>13 - ACABAMENTOS11</v>
      </c>
      <c r="B165" s="26" t="s">
        <v>94</v>
      </c>
      <c r="C165" s="28"/>
      <c r="D165" s="27"/>
      <c r="E165" s="28" t="e">
        <f>VLOOKUP(C165,Colaboradores!$E$2:$G$33,2,FALSE)</f>
        <v>#N/A</v>
      </c>
      <c r="F165" s="29"/>
      <c r="G165" s="38"/>
      <c r="H165" s="45"/>
    </row>
    <row r="166" spans="1:8" x14ac:dyDescent="0.45">
      <c r="A166" t="str">
        <f>B166&amp;COUNTIF($B$2:B166,B166)</f>
        <v>14 - BANCOS TRASEIROS1</v>
      </c>
      <c r="B166" s="30" t="s">
        <v>100</v>
      </c>
      <c r="C166" s="32" t="s">
        <v>12</v>
      </c>
      <c r="D166" s="31" t="s">
        <v>101</v>
      </c>
      <c r="E166" s="32" t="str">
        <f>VLOOKUP(C166,Colaboradores!$E$2:$G$33,2,FALSE)</f>
        <v>Nikolas</v>
      </c>
      <c r="F166" s="33">
        <v>10</v>
      </c>
      <c r="G166" s="34"/>
      <c r="H166" s="45">
        <v>0</v>
      </c>
    </row>
    <row r="167" spans="1:8" x14ac:dyDescent="0.45">
      <c r="A167" t="str">
        <f>B167&amp;COUNTIF($B$2:B167,B167)</f>
        <v>14 - BANCOS TRASEIROS2</v>
      </c>
      <c r="B167" s="30" t="s">
        <v>100</v>
      </c>
      <c r="C167" s="32" t="s">
        <v>12</v>
      </c>
      <c r="D167" s="31" t="s">
        <v>102</v>
      </c>
      <c r="E167" s="32" t="str">
        <f>VLOOKUP(C167,Colaboradores!$E$2:$G$33,2,FALSE)</f>
        <v>Nikolas</v>
      </c>
      <c r="F167" s="33">
        <v>5</v>
      </c>
      <c r="G167" s="34"/>
      <c r="H167" s="45">
        <v>0</v>
      </c>
    </row>
    <row r="168" spans="1:8" x14ac:dyDescent="0.45">
      <c r="A168" t="str">
        <f>B168&amp;COUNTIF($B$2:B168,B168)</f>
        <v>14 - BANCOS TRASEIROS3</v>
      </c>
      <c r="B168" s="30" t="s">
        <v>100</v>
      </c>
      <c r="C168" s="32" t="s">
        <v>12</v>
      </c>
      <c r="D168" s="31" t="s">
        <v>103</v>
      </c>
      <c r="E168" s="32" t="str">
        <f>VLOOKUP(C168,Colaboradores!$E$2:$G$33,2,FALSE)</f>
        <v>Nikolas</v>
      </c>
      <c r="F168" s="33">
        <v>15</v>
      </c>
      <c r="G168" s="34"/>
      <c r="H168" s="45">
        <v>0</v>
      </c>
    </row>
    <row r="169" spans="1:8" x14ac:dyDescent="0.45">
      <c r="A169" t="str">
        <f>B169&amp;COUNTIF($B$2:B169,B169)</f>
        <v>14 - BANCOS TRASEIROS4</v>
      </c>
      <c r="B169" s="30" t="s">
        <v>100</v>
      </c>
      <c r="C169" s="32" t="s">
        <v>104</v>
      </c>
      <c r="D169" s="31" t="s">
        <v>105</v>
      </c>
      <c r="E169" s="32" t="str">
        <f>VLOOKUP(C169,Colaboradores!$E$2:$G$33,2,FALSE)</f>
        <v>Brea</v>
      </c>
      <c r="F169" s="33">
        <v>5</v>
      </c>
      <c r="G169" s="34"/>
      <c r="H169" s="45">
        <v>0</v>
      </c>
    </row>
    <row r="170" spans="1:8" x14ac:dyDescent="0.45">
      <c r="A170" t="str">
        <f>B170&amp;COUNTIF($B$2:B170,B170)</f>
        <v>14 - BANCOS TRASEIROS5</v>
      </c>
      <c r="B170" s="30" t="s">
        <v>100</v>
      </c>
      <c r="C170" s="32" t="s">
        <v>106</v>
      </c>
      <c r="D170" s="31" t="s">
        <v>107</v>
      </c>
      <c r="E170" s="32" t="str">
        <f>VLOOKUP(C170,Colaboradores!$E$2:$G$33,2,FALSE)</f>
        <v>Kadu</v>
      </c>
      <c r="F170" s="33">
        <v>60</v>
      </c>
      <c r="G170" s="34"/>
      <c r="H170" s="45">
        <v>0</v>
      </c>
    </row>
    <row r="171" spans="1:8" x14ac:dyDescent="0.45">
      <c r="A171" t="str">
        <f>B171&amp;COUNTIF($B$2:B171,B171)</f>
        <v>14 - BANCOS TRASEIROS6</v>
      </c>
      <c r="B171" s="30" t="s">
        <v>100</v>
      </c>
      <c r="C171" s="32" t="s">
        <v>15</v>
      </c>
      <c r="D171" s="31" t="s">
        <v>108</v>
      </c>
      <c r="E171" s="32" t="str">
        <f>VLOOKUP(C171,Colaboradores!$E$2:$G$33,2,FALSE)</f>
        <v>Rita</v>
      </c>
      <c r="F171" s="33">
        <v>60</v>
      </c>
      <c r="G171" s="34"/>
      <c r="H171" s="45">
        <v>0</v>
      </c>
    </row>
    <row r="172" spans="1:8" x14ac:dyDescent="0.45">
      <c r="A172" t="str">
        <f>B172&amp;COUNTIF($B$2:B172,B172)</f>
        <v>14 - BANCOS TRASEIROS7</v>
      </c>
      <c r="B172" s="30" t="s">
        <v>100</v>
      </c>
      <c r="C172" s="32" t="s">
        <v>35</v>
      </c>
      <c r="D172" s="31" t="s">
        <v>110</v>
      </c>
      <c r="E172" s="32" t="str">
        <f>VLOOKUP(C172,Colaboradores!$E$2:$G$33,2,FALSE)</f>
        <v>Edna</v>
      </c>
      <c r="F172" s="33">
        <v>60</v>
      </c>
      <c r="G172" s="34"/>
      <c r="H172" s="45">
        <v>0</v>
      </c>
    </row>
    <row r="173" spans="1:8" x14ac:dyDescent="0.45">
      <c r="A173" t="str">
        <f>B173&amp;COUNTIF($B$2:B173,B173)</f>
        <v>14 - BANCOS TRASEIROS8</v>
      </c>
      <c r="B173" s="30" t="s">
        <v>100</v>
      </c>
      <c r="C173" s="32" t="s">
        <v>106</v>
      </c>
      <c r="D173" s="31" t="s">
        <v>111</v>
      </c>
      <c r="E173" s="32" t="str">
        <f>VLOOKUP(C173,Colaboradores!$E$2:$G$33,2,FALSE)</f>
        <v>Kadu</v>
      </c>
      <c r="F173" s="33">
        <v>60</v>
      </c>
      <c r="G173" s="34"/>
      <c r="H173" s="45">
        <v>0</v>
      </c>
    </row>
    <row r="174" spans="1:8" x14ac:dyDescent="0.45">
      <c r="A174" t="str">
        <f>B174&amp;COUNTIF($B$2:B174,B174)</f>
        <v>14 - BANCOS TRASEIROS9</v>
      </c>
      <c r="B174" s="30" t="s">
        <v>100</v>
      </c>
      <c r="C174" s="32" t="s">
        <v>27</v>
      </c>
      <c r="D174" s="31" t="s">
        <v>112</v>
      </c>
      <c r="E174" s="32" t="str">
        <f>VLOOKUP(C174,Colaboradores!$E$2:$G$33,2,FALSE)</f>
        <v>Gabriel</v>
      </c>
      <c r="F174" s="33">
        <v>10</v>
      </c>
      <c r="G174" s="34"/>
      <c r="H174" s="45">
        <v>0</v>
      </c>
    </row>
    <row r="175" spans="1:8" x14ac:dyDescent="0.45">
      <c r="A175" t="str">
        <f>B175&amp;COUNTIF($B$2:B175,B175)</f>
        <v>14 - BANCOS TRASEIROS10</v>
      </c>
      <c r="B175" s="30" t="s">
        <v>100</v>
      </c>
      <c r="C175" s="32" t="s">
        <v>49</v>
      </c>
      <c r="D175" s="31" t="s">
        <v>113</v>
      </c>
      <c r="E175" s="32" t="str">
        <f>VLOOKUP(C175,Colaboradores!$E$2:$G$33,2,FALSE)</f>
        <v>Kadu</v>
      </c>
      <c r="F175" s="33">
        <v>60</v>
      </c>
      <c r="G175" s="34"/>
      <c r="H175" s="45">
        <v>0</v>
      </c>
    </row>
    <row r="176" spans="1:8" x14ac:dyDescent="0.45">
      <c r="A176" t="str">
        <f>B176&amp;COUNTIF($B$2:B176,B176)</f>
        <v>14 - BANCOS TRASEIROS11</v>
      </c>
      <c r="B176" s="30" t="s">
        <v>100</v>
      </c>
      <c r="C176" s="32" t="s">
        <v>49</v>
      </c>
      <c r="D176" s="31" t="s">
        <v>114</v>
      </c>
      <c r="E176" s="32" t="str">
        <f>VLOOKUP(C176,Colaboradores!$E$2:$G$33,2,FALSE)</f>
        <v>Kadu</v>
      </c>
      <c r="F176" s="33">
        <v>60</v>
      </c>
      <c r="G176" s="34"/>
      <c r="H176" s="45">
        <v>0</v>
      </c>
    </row>
    <row r="177" spans="1:8" x14ac:dyDescent="0.45">
      <c r="A177" t="str">
        <f>B177&amp;COUNTIF($B$2:B177,B177)</f>
        <v>14 - BANCOS TRASEIROS12</v>
      </c>
      <c r="B177" s="30" t="s">
        <v>100</v>
      </c>
      <c r="C177" s="32" t="s">
        <v>78</v>
      </c>
      <c r="D177" s="31" t="s">
        <v>115</v>
      </c>
      <c r="E177" s="32" t="str">
        <f>VLOOKUP(C177,Colaboradores!$E$2:$G$33,2,FALSE)</f>
        <v>Arthur</v>
      </c>
      <c r="F177" s="33">
        <v>30</v>
      </c>
      <c r="G177" s="34"/>
      <c r="H177" s="45">
        <v>0</v>
      </c>
    </row>
    <row r="178" spans="1:8" x14ac:dyDescent="0.45">
      <c r="A178" t="str">
        <f>B178&amp;COUNTIF($B$2:B178,B178)</f>
        <v>14 - BANCOS TRASEIROS13</v>
      </c>
      <c r="B178" s="30" t="s">
        <v>100</v>
      </c>
      <c r="C178" s="32"/>
      <c r="D178" s="31"/>
      <c r="E178" s="32" t="e">
        <f>VLOOKUP(C178,Colaboradores!$E$2:$G$33,2,FALSE)</f>
        <v>#N/A</v>
      </c>
      <c r="G178" s="34"/>
      <c r="H178" s="45"/>
    </row>
    <row r="179" spans="1:8" x14ac:dyDescent="0.45">
      <c r="A179" t="str">
        <f>B179&amp;COUNTIF($B$2:B179,B179)</f>
        <v>14 - BANCOS TRASEIROS14</v>
      </c>
      <c r="B179" s="30" t="s">
        <v>100</v>
      </c>
      <c r="C179" s="32"/>
      <c r="D179" s="31"/>
      <c r="E179" s="32" t="e">
        <f>VLOOKUP(C179,Colaboradores!$E$2:$G$33,2,FALSE)</f>
        <v>#N/A</v>
      </c>
      <c r="G179" s="34"/>
      <c r="H179" s="45"/>
    </row>
    <row r="180" spans="1:8" x14ac:dyDescent="0.45">
      <c r="A180" t="str">
        <f>B180&amp;COUNTIF($B$2:B180,B180)</f>
        <v>14 - BANCOS TRASEIROS15</v>
      </c>
      <c r="B180" s="30" t="s">
        <v>100</v>
      </c>
      <c r="C180" s="32"/>
      <c r="D180" s="31"/>
      <c r="E180" s="32" t="e">
        <f>VLOOKUP(C180,Colaboradores!$E$2:$G$33,2,FALSE)</f>
        <v>#N/A</v>
      </c>
      <c r="G180" s="34"/>
      <c r="H180" s="45"/>
    </row>
    <row r="181" spans="1:8" x14ac:dyDescent="0.45">
      <c r="A181" t="str">
        <f>B181&amp;COUNTIF($B$2:B181,B181)</f>
        <v>14 - BANCOS TRASEIROS16</v>
      </c>
      <c r="B181" s="30" t="s">
        <v>100</v>
      </c>
      <c r="C181" s="32"/>
      <c r="D181" s="31"/>
      <c r="E181" s="32" t="e">
        <f>VLOOKUP(C181,Colaboradores!$E$2:$G$33,2,FALSE)</f>
        <v>#N/A</v>
      </c>
      <c r="G181" s="34"/>
      <c r="H181" s="45"/>
    </row>
    <row r="182" spans="1:8" x14ac:dyDescent="0.45">
      <c r="A182" t="str">
        <f>B182&amp;COUNTIF($B$2:B182,B182)</f>
        <v>14 - BANCOS TRASEIROS17</v>
      </c>
      <c r="B182" s="30" t="s">
        <v>100</v>
      </c>
      <c r="C182" s="32"/>
      <c r="D182" s="31"/>
      <c r="E182" s="32" t="e">
        <f>VLOOKUP(C182,Colaboradores!$E$2:$G$33,2,FALSE)</f>
        <v>#N/A</v>
      </c>
      <c r="G182" s="34"/>
      <c r="H182" s="45"/>
    </row>
    <row r="183" spans="1:8" x14ac:dyDescent="0.45">
      <c r="A183" t="str">
        <f>B183&amp;COUNTIF($B$2:B183,B183)</f>
        <v>14 - BANCOS TRASEIROS18</v>
      </c>
      <c r="B183" s="30" t="s">
        <v>100</v>
      </c>
      <c r="C183" s="32"/>
      <c r="D183" s="31"/>
      <c r="E183" s="32" t="e">
        <f>VLOOKUP(C183,Colaboradores!$E$2:$G$33,2,FALSE)</f>
        <v>#N/A</v>
      </c>
      <c r="G183" s="34"/>
      <c r="H183" s="45"/>
    </row>
    <row r="184" spans="1:8" x14ac:dyDescent="0.45">
      <c r="A184" t="str">
        <f>B184&amp;COUNTIF($B$2:B184,B184)</f>
        <v>14 - BANCOS TRASEIROS19</v>
      </c>
      <c r="B184" s="30" t="s">
        <v>100</v>
      </c>
      <c r="C184" s="32"/>
      <c r="D184" s="31"/>
      <c r="E184" s="32" t="e">
        <f>VLOOKUP(C184,Colaboradores!$E$2:$G$33,2,FALSE)</f>
        <v>#N/A</v>
      </c>
      <c r="G184" s="34"/>
      <c r="H184" s="45"/>
    </row>
    <row r="185" spans="1:8" x14ac:dyDescent="0.45">
      <c r="A185" t="str">
        <f>B185&amp;COUNTIF($B$2:B185,B185)</f>
        <v>14 - BANCOS TRASEIROS20</v>
      </c>
      <c r="B185" s="30" t="s">
        <v>100</v>
      </c>
      <c r="C185" s="32"/>
      <c r="D185" s="31"/>
      <c r="E185" s="32" t="e">
        <f>VLOOKUP(C185,Colaboradores!$E$2:$G$33,2,FALSE)</f>
        <v>#N/A</v>
      </c>
      <c r="G185" s="34"/>
      <c r="H185" s="45"/>
    </row>
    <row r="186" spans="1:8" x14ac:dyDescent="0.45">
      <c r="A186" s="11" t="str">
        <f>B186&amp;COUNTIF($B$2:B186,B186)</f>
        <v>15 - BANCOS DIANTEIROS1</v>
      </c>
      <c r="B186" s="26" t="s">
        <v>116</v>
      </c>
      <c r="C186" s="28" t="s">
        <v>12</v>
      </c>
      <c r="D186" s="27" t="s">
        <v>101</v>
      </c>
      <c r="E186" s="28" t="s">
        <v>63</v>
      </c>
      <c r="F186" s="29">
        <v>50</v>
      </c>
      <c r="G186" s="38"/>
      <c r="H186" s="45">
        <v>0</v>
      </c>
    </row>
    <row r="187" spans="1:8" x14ac:dyDescent="0.45">
      <c r="A187" s="11" t="str">
        <f>B187&amp;COUNTIF($B$2:B187,B187)</f>
        <v>15 - BANCOS DIANTEIROS2</v>
      </c>
      <c r="B187" s="26" t="s">
        <v>116</v>
      </c>
      <c r="C187" s="28" t="s">
        <v>12</v>
      </c>
      <c r="D187" s="27" t="s">
        <v>102</v>
      </c>
      <c r="E187" s="28" t="s">
        <v>63</v>
      </c>
      <c r="F187" s="29">
        <v>30</v>
      </c>
      <c r="G187" s="38"/>
      <c r="H187" s="45">
        <v>0</v>
      </c>
    </row>
    <row r="188" spans="1:8" x14ac:dyDescent="0.45">
      <c r="A188" s="11" t="str">
        <f>B188&amp;COUNTIF($B$2:B188,B188)</f>
        <v>15 - BANCOS DIANTEIROS3</v>
      </c>
      <c r="B188" s="26" t="s">
        <v>116</v>
      </c>
      <c r="C188" s="28" t="s">
        <v>117</v>
      </c>
      <c r="D188" s="27" t="s">
        <v>118</v>
      </c>
      <c r="E188" s="28" t="str">
        <f>VLOOKUP(C188,Colaboradores!$E$2:$G$33,2,FALSE)</f>
        <v>Paulique</v>
      </c>
      <c r="F188" s="29">
        <v>30</v>
      </c>
      <c r="G188" s="38"/>
      <c r="H188" s="45">
        <v>0</v>
      </c>
    </row>
    <row r="189" spans="1:8" x14ac:dyDescent="0.45">
      <c r="A189" s="11" t="str">
        <f>B189&amp;COUNTIF($B$2:B189,B189)</f>
        <v>15 - BANCOS DIANTEIROS4</v>
      </c>
      <c r="B189" s="26" t="s">
        <v>116</v>
      </c>
      <c r="C189" s="28" t="s">
        <v>117</v>
      </c>
      <c r="D189" s="27" t="s">
        <v>186</v>
      </c>
      <c r="E189" s="28" t="str">
        <f>VLOOKUP(C189,Colaboradores!$E$2:$G$33,2,FALSE)</f>
        <v>Paulique</v>
      </c>
      <c r="F189" s="29">
        <v>30</v>
      </c>
      <c r="G189" s="38"/>
      <c r="H189" s="45">
        <v>0</v>
      </c>
    </row>
    <row r="190" spans="1:8" x14ac:dyDescent="0.45">
      <c r="A190" s="11" t="str">
        <f>B190&amp;COUNTIF($B$2:B190,B190)</f>
        <v>15 - BANCOS DIANTEIROS5</v>
      </c>
      <c r="B190" s="26" t="s">
        <v>116</v>
      </c>
      <c r="C190" s="28" t="s">
        <v>12</v>
      </c>
      <c r="D190" s="27" t="s">
        <v>119</v>
      </c>
      <c r="E190" s="28" t="s">
        <v>63</v>
      </c>
      <c r="F190" s="29">
        <v>30</v>
      </c>
      <c r="G190" s="38"/>
      <c r="H190" s="45">
        <v>0</v>
      </c>
    </row>
    <row r="191" spans="1:8" x14ac:dyDescent="0.45">
      <c r="A191" s="11" t="str">
        <f>B191&amp;COUNTIF($B$2:B191,B191)</f>
        <v>15 - BANCOS DIANTEIROS6</v>
      </c>
      <c r="B191" s="26" t="s">
        <v>116</v>
      </c>
      <c r="C191" s="28" t="s">
        <v>12</v>
      </c>
      <c r="D191" s="27" t="s">
        <v>120</v>
      </c>
      <c r="E191" s="28" t="s">
        <v>63</v>
      </c>
      <c r="F191" s="29">
        <v>45</v>
      </c>
      <c r="G191" s="38"/>
      <c r="H191" s="45">
        <v>0</v>
      </c>
    </row>
    <row r="192" spans="1:8" x14ac:dyDescent="0.45">
      <c r="A192" s="11" t="str">
        <f>B192&amp;COUNTIF($B$2:B192,B192)</f>
        <v>15 - BANCOS DIANTEIROS7</v>
      </c>
      <c r="B192" s="26" t="s">
        <v>116</v>
      </c>
      <c r="C192" s="28" t="s">
        <v>106</v>
      </c>
      <c r="D192" s="27" t="s">
        <v>171</v>
      </c>
      <c r="E192" s="28" t="str">
        <f>VLOOKUP(C192,Colaboradores!$E$2:$G$33,2,FALSE)</f>
        <v>Kadu</v>
      </c>
      <c r="F192" s="29">
        <v>60</v>
      </c>
      <c r="G192" s="38"/>
      <c r="H192" s="45">
        <v>0</v>
      </c>
    </row>
    <row r="193" spans="1:8" x14ac:dyDescent="0.45">
      <c r="A193" s="11" t="str">
        <f>B193&amp;COUNTIF($B$2:B193,B193)</f>
        <v>15 - BANCOS DIANTEIROS8</v>
      </c>
      <c r="B193" s="26" t="s">
        <v>116</v>
      </c>
      <c r="C193" s="28" t="s">
        <v>106</v>
      </c>
      <c r="D193" s="27" t="s">
        <v>121</v>
      </c>
      <c r="E193" s="28" t="str">
        <f>VLOOKUP(C193,Colaboradores!$E$2:$G$33,2,FALSE)</f>
        <v>Kadu</v>
      </c>
      <c r="F193" s="29">
        <v>60</v>
      </c>
      <c r="G193" s="38"/>
      <c r="H193" s="45">
        <v>0</v>
      </c>
    </row>
    <row r="194" spans="1:8" x14ac:dyDescent="0.45">
      <c r="A194" s="11" t="str">
        <f>B194&amp;COUNTIF($B$2:B194,B194)</f>
        <v>15 - BANCOS DIANTEIROS9</v>
      </c>
      <c r="B194" s="26" t="s">
        <v>116</v>
      </c>
      <c r="C194" s="28" t="s">
        <v>15</v>
      </c>
      <c r="D194" s="27" t="s">
        <v>122</v>
      </c>
      <c r="E194" s="28" t="str">
        <f>VLOOKUP(C194,Colaboradores!$E$2:$G$33,2,FALSE)</f>
        <v>Rita</v>
      </c>
      <c r="F194" s="29">
        <v>60</v>
      </c>
      <c r="G194" s="38"/>
      <c r="H194" s="45">
        <v>0</v>
      </c>
    </row>
    <row r="195" spans="1:8" x14ac:dyDescent="0.45">
      <c r="A195" s="11" t="str">
        <f>B195&amp;COUNTIF($B$2:B195,B195)</f>
        <v>15 - BANCOS DIANTEIROS10</v>
      </c>
      <c r="B195" s="26" t="s">
        <v>116</v>
      </c>
      <c r="C195" s="28" t="s">
        <v>15</v>
      </c>
      <c r="D195" s="27"/>
      <c r="E195" s="28" t="str">
        <f>VLOOKUP(C195,Colaboradores!$E$2:$G$33,2,FALSE)</f>
        <v>Rita</v>
      </c>
      <c r="F195" s="29"/>
      <c r="G195" s="38"/>
      <c r="H195" s="45">
        <v>0</v>
      </c>
    </row>
    <row r="196" spans="1:8" x14ac:dyDescent="0.45">
      <c r="A196" s="11" t="str">
        <f>B196&amp;COUNTIF($B$2:B196,B196)</f>
        <v>15 - BANCOS DIANTEIROS11</v>
      </c>
      <c r="B196" s="26" t="s">
        <v>116</v>
      </c>
      <c r="C196" s="28" t="s">
        <v>35</v>
      </c>
      <c r="D196" s="27" t="s">
        <v>123</v>
      </c>
      <c r="E196" s="28" t="str">
        <f>VLOOKUP(C196,Colaboradores!$E$2:$G$33,2,FALSE)</f>
        <v>Edna</v>
      </c>
      <c r="F196" s="29">
        <v>240</v>
      </c>
      <c r="G196" s="38"/>
      <c r="H196" s="45">
        <v>0</v>
      </c>
    </row>
    <row r="197" spans="1:8" x14ac:dyDescent="0.45">
      <c r="A197" s="11" t="str">
        <f>B197&amp;COUNTIF($B$2:B197,B197)</f>
        <v>15 - BANCOS DIANTEIROS12</v>
      </c>
      <c r="B197" s="26" t="s">
        <v>116</v>
      </c>
      <c r="C197" s="28" t="s">
        <v>35</v>
      </c>
      <c r="D197" s="27"/>
      <c r="E197" s="28" t="str">
        <f>VLOOKUP(C197,Colaboradores!$E$2:$G$33,2,FALSE)</f>
        <v>Edna</v>
      </c>
      <c r="F197" s="29"/>
      <c r="G197" s="38"/>
      <c r="H197" s="45">
        <v>0</v>
      </c>
    </row>
    <row r="198" spans="1:8" x14ac:dyDescent="0.45">
      <c r="A198" s="11" t="str">
        <f>B198&amp;COUNTIF($B$2:B198,B198)</f>
        <v>15 - BANCOS DIANTEIROS13</v>
      </c>
      <c r="B198" s="26" t="s">
        <v>116</v>
      </c>
      <c r="C198" s="28" t="s">
        <v>49</v>
      </c>
      <c r="D198" s="27" t="s">
        <v>124</v>
      </c>
      <c r="E198" s="28" t="str">
        <f>VLOOKUP(C198,Colaboradores!$E$2:$G$33,2,FALSE)</f>
        <v>Kadu</v>
      </c>
      <c r="F198" s="29">
        <v>40</v>
      </c>
      <c r="G198" s="38"/>
      <c r="H198" s="45">
        <v>0</v>
      </c>
    </row>
    <row r="199" spans="1:8" x14ac:dyDescent="0.45">
      <c r="A199" s="11" t="str">
        <f>B199&amp;COUNTIF($B$2:B199,B199)</f>
        <v>15 - BANCOS DIANTEIROS14</v>
      </c>
      <c r="B199" s="26" t="s">
        <v>116</v>
      </c>
      <c r="C199" s="28" t="s">
        <v>49</v>
      </c>
      <c r="D199" s="27" t="s">
        <v>125</v>
      </c>
      <c r="E199" s="28" t="str">
        <f>VLOOKUP(C199,Colaboradores!$E$2:$G$33,2,FALSE)</f>
        <v>Kadu</v>
      </c>
      <c r="F199" s="29">
        <v>60</v>
      </c>
      <c r="G199" s="38"/>
      <c r="H199" s="45">
        <v>0</v>
      </c>
    </row>
    <row r="200" spans="1:8" x14ac:dyDescent="0.45">
      <c r="A200" s="11" t="str">
        <f>B200&amp;COUNTIF($B$2:B200,B200)</f>
        <v>15 - BANCOS DIANTEIROS15</v>
      </c>
      <c r="B200" s="26" t="s">
        <v>116</v>
      </c>
      <c r="C200" s="28" t="s">
        <v>49</v>
      </c>
      <c r="D200" s="27" t="s">
        <v>126</v>
      </c>
      <c r="E200" s="28" t="str">
        <f>VLOOKUP(C200,Colaboradores!$E$2:$G$33,2,FALSE)</f>
        <v>Kadu</v>
      </c>
      <c r="F200" s="29">
        <v>90</v>
      </c>
      <c r="G200" s="38"/>
      <c r="H200" s="45">
        <v>0</v>
      </c>
    </row>
    <row r="201" spans="1:8" x14ac:dyDescent="0.45">
      <c r="A201" s="11" t="str">
        <f>B201&amp;COUNTIF($B$2:B201,B201)</f>
        <v>15 - BANCOS DIANTEIROS16</v>
      </c>
      <c r="B201" s="26" t="s">
        <v>116</v>
      </c>
      <c r="C201" s="28" t="s">
        <v>49</v>
      </c>
      <c r="D201" s="27"/>
      <c r="E201" s="28" t="str">
        <f>VLOOKUP(C201,Colaboradores!$E$2:$G$33,2,FALSE)</f>
        <v>Kadu</v>
      </c>
      <c r="F201" s="29"/>
      <c r="G201" s="38"/>
      <c r="H201" s="45">
        <v>0</v>
      </c>
    </row>
    <row r="202" spans="1:8" x14ac:dyDescent="0.45">
      <c r="A202" s="11" t="str">
        <f>B202&amp;COUNTIF($B$2:B202,B202)</f>
        <v>15 - BANCOS DIANTEIROS17</v>
      </c>
      <c r="B202" s="26" t="s">
        <v>116</v>
      </c>
      <c r="C202" s="28"/>
      <c r="D202" s="27"/>
      <c r="E202" s="28" t="e">
        <f>VLOOKUP(C202,Colaboradores!$E$2:$G$33,2,FALSE)</f>
        <v>#N/A</v>
      </c>
      <c r="F202" s="29"/>
      <c r="G202" s="38"/>
      <c r="H202" s="45"/>
    </row>
    <row r="203" spans="1:8" x14ac:dyDescent="0.45">
      <c r="A203" s="11" t="str">
        <f>B203&amp;COUNTIF($B$2:B203,B203)</f>
        <v>15 - BANCOS DIANTEIROS18</v>
      </c>
      <c r="B203" s="26" t="s">
        <v>116</v>
      </c>
      <c r="C203" s="28"/>
      <c r="D203" s="27"/>
      <c r="E203" s="28" t="e">
        <f>VLOOKUP(C203,Colaboradores!$E$2:$G$33,2,FALSE)</f>
        <v>#N/A</v>
      </c>
      <c r="F203" s="29"/>
      <c r="G203" s="38"/>
      <c r="H203" s="45"/>
    </row>
    <row r="204" spans="1:8" x14ac:dyDescent="0.45">
      <c r="A204" s="11" t="str">
        <f>B204&amp;COUNTIF($B$2:B204,B204)</f>
        <v>15 - BANCOS DIANTEIROS19</v>
      </c>
      <c r="B204" s="26" t="s">
        <v>116</v>
      </c>
      <c r="C204" s="28"/>
      <c r="D204" s="27"/>
      <c r="E204" s="28" t="e">
        <f>VLOOKUP(C204,Colaboradores!$E$2:$G$33,2,FALSE)</f>
        <v>#N/A</v>
      </c>
      <c r="F204" s="29"/>
      <c r="G204" s="38"/>
      <c r="H204" s="45"/>
    </row>
    <row r="205" spans="1:8" x14ac:dyDescent="0.45">
      <c r="A205" s="11" t="str">
        <f>B205&amp;COUNTIF($B$2:B205,B205)</f>
        <v>15 - BANCOS DIANTEIROS20</v>
      </c>
      <c r="B205" s="26" t="s">
        <v>116</v>
      </c>
      <c r="C205" s="28"/>
      <c r="D205" s="27"/>
      <c r="E205" s="28" t="e">
        <f>VLOOKUP(C205,Colaboradores!$E$2:$G$33,2,FALSE)</f>
        <v>#N/A</v>
      </c>
      <c r="F205" s="29"/>
      <c r="G205" s="38"/>
      <c r="H205" s="45"/>
    </row>
    <row r="206" spans="1:8" x14ac:dyDescent="0.45">
      <c r="A206" s="11" t="str">
        <f>B206&amp;COUNTIF($B$2:B206,B206)</f>
        <v>15 - BANCOS DIANTEIROS21</v>
      </c>
      <c r="B206" s="26" t="s">
        <v>116</v>
      </c>
      <c r="C206" s="28"/>
      <c r="D206" s="27"/>
      <c r="E206" s="28" t="e">
        <f>VLOOKUP(C206,Colaboradores!$E$2:$G$33,2,FALSE)</f>
        <v>#N/A</v>
      </c>
      <c r="F206" s="29"/>
      <c r="G206" s="38"/>
      <c r="H206" s="45"/>
    </row>
    <row r="207" spans="1:8" x14ac:dyDescent="0.45">
      <c r="A207" s="11" t="str">
        <f>B207&amp;COUNTIF($B$2:B207,B207)</f>
        <v>15 - BANCOS DIANTEIROS22</v>
      </c>
      <c r="B207" s="26" t="s">
        <v>116</v>
      </c>
      <c r="C207" s="28"/>
      <c r="D207" s="27"/>
      <c r="E207" s="28" t="e">
        <f>VLOOKUP(C207,Colaboradores!$E$2:$G$33,2,FALSE)</f>
        <v>#N/A</v>
      </c>
      <c r="F207" s="29"/>
      <c r="G207" s="38"/>
      <c r="H207" s="45"/>
    </row>
    <row r="208" spans="1:8" x14ac:dyDescent="0.45">
      <c r="A208" s="11" t="str">
        <f>B208&amp;COUNTIF($B$2:B208,B208)</f>
        <v>15 - BANCOS DIANTEIROS23</v>
      </c>
      <c r="B208" s="26" t="s">
        <v>116</v>
      </c>
      <c r="C208" s="28"/>
      <c r="D208" s="27"/>
      <c r="E208" s="28" t="e">
        <f>VLOOKUP(C208,Colaboradores!$E$2:$G$33,2,FALSE)</f>
        <v>#N/A</v>
      </c>
      <c r="F208" s="29"/>
      <c r="G208" s="38"/>
      <c r="H208" s="45"/>
    </row>
    <row r="209" spans="1:8" x14ac:dyDescent="0.45">
      <c r="A209" s="11" t="str">
        <f>B209&amp;COUNTIF($B$2:B209,B209)</f>
        <v>15 - BANCOS DIANTEIROS24</v>
      </c>
      <c r="B209" s="26" t="s">
        <v>116</v>
      </c>
      <c r="C209" s="28"/>
      <c r="D209" s="27"/>
      <c r="E209" s="28" t="e">
        <f>VLOOKUP(C209,Colaboradores!$E$2:$G$33,2,FALSE)</f>
        <v>#N/A</v>
      </c>
      <c r="F209" s="29"/>
      <c r="G209" s="38"/>
      <c r="H209" s="45"/>
    </row>
    <row r="210" spans="1:8" x14ac:dyDescent="0.45">
      <c r="A210" t="str">
        <f>B210&amp;COUNTIF($B$2:B210,B210)</f>
        <v>16 - VOLANTE1</v>
      </c>
      <c r="B210" s="30" t="s">
        <v>127</v>
      </c>
      <c r="C210" s="32" t="s">
        <v>12</v>
      </c>
      <c r="D210" s="31" t="s">
        <v>128</v>
      </c>
      <c r="E210" s="32" t="str">
        <f>VLOOKUP(C210,Colaboradores!$E$2:$G$33,2,FALSE)</f>
        <v>Nikolas</v>
      </c>
      <c r="F210" s="33">
        <v>10</v>
      </c>
      <c r="G210" s="34"/>
      <c r="H210" s="45">
        <v>0</v>
      </c>
    </row>
    <row r="211" spans="1:8" x14ac:dyDescent="0.45">
      <c r="A211" t="str">
        <f>B211&amp;COUNTIF($B$2:B211,B211)</f>
        <v>16 - VOLANTE2</v>
      </c>
      <c r="B211" s="30" t="s">
        <v>127</v>
      </c>
      <c r="C211" s="32" t="s">
        <v>12</v>
      </c>
      <c r="D211" s="31" t="s">
        <v>129</v>
      </c>
      <c r="E211" s="32" t="str">
        <f>VLOOKUP(C211,Colaboradores!$E$2:$G$33,2,FALSE)</f>
        <v>Nikolas</v>
      </c>
      <c r="F211" s="35">
        <v>0</v>
      </c>
      <c r="G211" s="36"/>
      <c r="H211" s="45"/>
    </row>
    <row r="212" spans="1:8" x14ac:dyDescent="0.45">
      <c r="A212" t="str">
        <f>B212&amp;COUNTIF($B$2:B212,B212)</f>
        <v>16 - VOLANTE3</v>
      </c>
      <c r="B212" s="30" t="s">
        <v>127</v>
      </c>
      <c r="C212" s="32" t="s">
        <v>12</v>
      </c>
      <c r="D212" s="31" t="s">
        <v>130</v>
      </c>
      <c r="E212" s="32" t="str">
        <f>VLOOKUP(C212,Colaboradores!$E$2:$G$33,2,FALSE)</f>
        <v>Nikolas</v>
      </c>
      <c r="F212" s="33">
        <v>10</v>
      </c>
      <c r="G212" s="34"/>
      <c r="H212" s="45">
        <v>0</v>
      </c>
    </row>
    <row r="213" spans="1:8" x14ac:dyDescent="0.45">
      <c r="A213" t="str">
        <f>B213&amp;COUNTIF($B$2:B213,B213)</f>
        <v>16 - VOLANTE4</v>
      </c>
      <c r="B213" s="30" t="s">
        <v>127</v>
      </c>
      <c r="C213" s="32" t="s">
        <v>15</v>
      </c>
      <c r="D213" s="31" t="s">
        <v>131</v>
      </c>
      <c r="E213" s="32" t="str">
        <f>VLOOKUP(C213,Colaboradores!$E$2:$G$33,2,FALSE)</f>
        <v>Rita</v>
      </c>
      <c r="F213" s="33">
        <v>40</v>
      </c>
      <c r="G213" s="34"/>
      <c r="H213" s="45">
        <v>0</v>
      </c>
    </row>
    <row r="214" spans="1:8" x14ac:dyDescent="0.45">
      <c r="A214" t="str">
        <f>B214&amp;COUNTIF($B$2:B214,B214)</f>
        <v>16 - VOLANTE5</v>
      </c>
      <c r="B214" s="30" t="s">
        <v>127</v>
      </c>
      <c r="C214" s="32" t="s">
        <v>15</v>
      </c>
      <c r="D214" s="31" t="s">
        <v>132</v>
      </c>
      <c r="E214" s="32" t="str">
        <f>VLOOKUP(C214,Colaboradores!$E$2:$G$33,2,FALSE)</f>
        <v>Rita</v>
      </c>
      <c r="F214" s="33">
        <v>70</v>
      </c>
      <c r="G214" s="34"/>
      <c r="H214" s="45">
        <v>0</v>
      </c>
    </row>
    <row r="215" spans="1:8" x14ac:dyDescent="0.45">
      <c r="A215" t="str">
        <f>B215&amp;COUNTIF($B$2:B215,B215)</f>
        <v>16 - VOLANTE6</v>
      </c>
      <c r="B215" s="30" t="s">
        <v>127</v>
      </c>
      <c r="C215" s="32" t="s">
        <v>17</v>
      </c>
      <c r="D215" s="31" t="s">
        <v>133</v>
      </c>
      <c r="E215" s="32" t="str">
        <f>VLOOKUP(C215,Colaboradores!$E$2:$G$33,2,FALSE)</f>
        <v>Lohan</v>
      </c>
      <c r="F215" s="33">
        <v>30</v>
      </c>
      <c r="G215" s="34"/>
      <c r="H215" s="45">
        <v>0</v>
      </c>
    </row>
    <row r="216" spans="1:8" x14ac:dyDescent="0.45">
      <c r="A216" t="str">
        <f>B216&amp;COUNTIF($B$2:B216,B216)</f>
        <v>16 - VOLANTE7</v>
      </c>
      <c r="B216" s="30" t="s">
        <v>127</v>
      </c>
      <c r="C216" s="32" t="s">
        <v>35</v>
      </c>
      <c r="D216" s="31" t="s">
        <v>134</v>
      </c>
      <c r="E216" s="32" t="str">
        <f>VLOOKUP(C216,Colaboradores!$E$2:$G$33,2,FALSE)</f>
        <v>Edna</v>
      </c>
      <c r="F216" s="33">
        <v>90</v>
      </c>
      <c r="G216" s="34"/>
      <c r="H216" s="45">
        <v>0</v>
      </c>
    </row>
    <row r="217" spans="1:8" x14ac:dyDescent="0.45">
      <c r="A217" t="str">
        <f>B217&amp;COUNTIF($B$2:B217,B217)</f>
        <v>16 - VOLANTE8</v>
      </c>
      <c r="B217" s="30" t="s">
        <v>127</v>
      </c>
      <c r="C217" s="32"/>
      <c r="D217" s="31"/>
      <c r="E217" s="32" t="e">
        <f>VLOOKUP(C217,Colaboradores!$E$2:$G$33,2,FALSE)</f>
        <v>#N/A</v>
      </c>
      <c r="G217" s="34"/>
      <c r="H217" s="45"/>
    </row>
    <row r="218" spans="1:8" x14ac:dyDescent="0.45">
      <c r="A218" t="str">
        <f>B218&amp;COUNTIF($B$2:B218,B218)</f>
        <v>16 - VOLANTE9</v>
      </c>
      <c r="B218" s="30" t="s">
        <v>127</v>
      </c>
      <c r="C218" s="32"/>
      <c r="D218" s="31"/>
      <c r="E218" s="32" t="e">
        <f>VLOOKUP(C218,Colaboradores!$E$2:$G$33,2,FALSE)</f>
        <v>#N/A</v>
      </c>
      <c r="G218" s="34"/>
      <c r="H218" s="45"/>
    </row>
    <row r="219" spans="1:8" x14ac:dyDescent="0.45">
      <c r="A219" t="str">
        <f>B219&amp;COUNTIF($B$2:B219,B219)</f>
        <v>16 - VOLANTE10</v>
      </c>
      <c r="B219" s="30" t="s">
        <v>127</v>
      </c>
      <c r="C219" s="32"/>
      <c r="D219" s="31"/>
      <c r="E219" s="32" t="e">
        <f>VLOOKUP(C219,Colaboradores!$E$2:$G$33,2,FALSE)</f>
        <v>#N/A</v>
      </c>
      <c r="G219" s="34"/>
      <c r="H219" s="45"/>
    </row>
    <row r="220" spans="1:8" x14ac:dyDescent="0.45">
      <c r="A220" t="str">
        <f>B220&amp;COUNTIF($B$2:B220,B220)</f>
        <v>16 - VOLANTE11</v>
      </c>
      <c r="B220" s="30" t="s">
        <v>127</v>
      </c>
      <c r="C220" s="32"/>
      <c r="D220" s="31"/>
      <c r="E220" s="32" t="e">
        <f>VLOOKUP(C220,Colaboradores!$E$2:$G$33,2,FALSE)</f>
        <v>#N/A</v>
      </c>
      <c r="G220" s="34"/>
      <c r="H220" s="45"/>
    </row>
    <row r="221" spans="1:8" x14ac:dyDescent="0.45">
      <c r="A221" t="str">
        <f>B221&amp;COUNTIF($B$2:B221,B221)</f>
        <v>16 - VOLANTE12</v>
      </c>
      <c r="B221" s="30" t="s">
        <v>127</v>
      </c>
      <c r="C221" s="32"/>
      <c r="D221" s="31"/>
      <c r="E221" s="32" t="e">
        <f>VLOOKUP(C221,Colaboradores!$E$2:$G$33,2,FALSE)</f>
        <v>#N/A</v>
      </c>
      <c r="G221" s="34"/>
      <c r="H221" s="45"/>
    </row>
    <row r="222" spans="1:8" x14ac:dyDescent="0.45">
      <c r="A222" t="str">
        <f>B222&amp;COUNTIF($B$2:B222,B222)</f>
        <v>16 - VOLANTE13</v>
      </c>
      <c r="B222" s="30" t="s">
        <v>127</v>
      </c>
      <c r="C222" s="32"/>
      <c r="D222" s="31"/>
      <c r="E222" s="32" t="e">
        <f>VLOOKUP(C222,Colaboradores!$E$2:$G$33,2,FALSE)</f>
        <v>#N/A</v>
      </c>
      <c r="G222" s="34"/>
      <c r="H222" s="45"/>
    </row>
    <row r="223" spans="1:8" x14ac:dyDescent="0.45">
      <c r="A223" t="str">
        <f>B223&amp;COUNTIF($B$2:B223,B223)</f>
        <v>16 - VOLANTE14</v>
      </c>
      <c r="B223" s="30" t="s">
        <v>127</v>
      </c>
      <c r="C223" s="32"/>
      <c r="D223" s="31"/>
      <c r="E223" s="32" t="e">
        <f>VLOOKUP(C223,Colaboradores!$E$2:$G$33,2,FALSE)</f>
        <v>#N/A</v>
      </c>
      <c r="G223" s="34"/>
      <c r="H223" s="45"/>
    </row>
    <row r="224" spans="1:8" x14ac:dyDescent="0.45">
      <c r="A224" s="11" t="str">
        <f>B224&amp;COUNTIF($B$2:B224,B224)</f>
        <v>17 - TAMPÃO1</v>
      </c>
      <c r="B224" s="26" t="s">
        <v>135</v>
      </c>
      <c r="C224" s="28" t="s">
        <v>12</v>
      </c>
      <c r="D224" s="27" t="s">
        <v>136</v>
      </c>
      <c r="E224" s="28" t="str">
        <f>VLOOKUP(C224,Colaboradores!$E$2:$G$33,2,FALSE)</f>
        <v>Nikolas</v>
      </c>
      <c r="F224" s="35">
        <v>0</v>
      </c>
      <c r="G224" s="36"/>
      <c r="H224" s="45"/>
    </row>
    <row r="225" spans="1:8" x14ac:dyDescent="0.45">
      <c r="A225" s="11" t="str">
        <f>B225&amp;COUNTIF($B$2:B225,B225)</f>
        <v>17 - TAMPÃO2</v>
      </c>
      <c r="B225" s="26" t="s">
        <v>135</v>
      </c>
      <c r="C225" s="28" t="s">
        <v>15</v>
      </c>
      <c r="D225" s="27" t="s">
        <v>137</v>
      </c>
      <c r="E225" s="28" t="str">
        <f>VLOOKUP(C225,Colaboradores!$E$2:$G$33,2,FALSE)</f>
        <v>Rita</v>
      </c>
      <c r="F225" s="29">
        <v>15</v>
      </c>
      <c r="G225" s="38"/>
      <c r="H225" s="45">
        <v>0</v>
      </c>
    </row>
    <row r="226" spans="1:8" x14ac:dyDescent="0.45">
      <c r="A226" s="11" t="str">
        <f>B226&amp;COUNTIF($B$2:B226,B226)</f>
        <v>17 - TAMPÃO3</v>
      </c>
      <c r="B226" s="26" t="s">
        <v>135</v>
      </c>
      <c r="C226" s="28" t="s">
        <v>17</v>
      </c>
      <c r="D226" s="27" t="s">
        <v>138</v>
      </c>
      <c r="E226" s="28" t="str">
        <f>VLOOKUP(C226,Colaboradores!$E$2:$G$33,2,FALSE)</f>
        <v>Lohan</v>
      </c>
      <c r="F226" s="29">
        <v>15</v>
      </c>
      <c r="G226" s="38"/>
      <c r="H226" s="45">
        <v>0</v>
      </c>
    </row>
    <row r="227" spans="1:8" x14ac:dyDescent="0.45">
      <c r="A227" s="11" t="str">
        <f>B227&amp;COUNTIF($B$2:B227,B227)</f>
        <v>17 - TAMPÃO4</v>
      </c>
      <c r="B227" s="26" t="s">
        <v>135</v>
      </c>
      <c r="C227" s="28" t="s">
        <v>27</v>
      </c>
      <c r="D227" s="27" t="s">
        <v>139</v>
      </c>
      <c r="E227" s="28" t="str">
        <f>VLOOKUP(C227,Colaboradores!$E$2:$G$33,2,FALSE)</f>
        <v>Gabriel</v>
      </c>
      <c r="F227" s="29">
        <v>60</v>
      </c>
      <c r="G227" s="38"/>
      <c r="H227" s="45">
        <v>0</v>
      </c>
    </row>
    <row r="228" spans="1:8" x14ac:dyDescent="0.45">
      <c r="A228" s="11" t="str">
        <f>B228&amp;COUNTIF($B$2:B228,B228)</f>
        <v>17 - TAMPÃO5</v>
      </c>
      <c r="B228" s="26" t="s">
        <v>135</v>
      </c>
      <c r="C228" s="28" t="s">
        <v>78</v>
      </c>
      <c r="D228" s="27" t="s">
        <v>140</v>
      </c>
      <c r="E228" s="28" t="str">
        <f>VLOOKUP(C228,Colaboradores!$E$2:$G$33,2,FALSE)</f>
        <v>Arthur</v>
      </c>
      <c r="F228" s="29">
        <v>10</v>
      </c>
      <c r="G228" s="38"/>
      <c r="H228" s="45">
        <v>0</v>
      </c>
    </row>
    <row r="229" spans="1:8" x14ac:dyDescent="0.45">
      <c r="A229" s="11" t="str">
        <f>B229&amp;COUNTIF($B$2:B229,B229)</f>
        <v>17 - TAMPÃO6</v>
      </c>
      <c r="B229" s="26" t="s">
        <v>135</v>
      </c>
      <c r="C229" s="28" t="s">
        <v>29</v>
      </c>
      <c r="D229" s="27" t="s">
        <v>141</v>
      </c>
      <c r="E229" s="28" t="str">
        <f>VLOOKUP(C229,Colaboradores!$E$2:$G$33,2,FALSE)</f>
        <v>Arthur</v>
      </c>
      <c r="F229" s="29">
        <v>10</v>
      </c>
      <c r="G229" s="38"/>
      <c r="H229" s="45">
        <v>0</v>
      </c>
    </row>
    <row r="230" spans="1:8" x14ac:dyDescent="0.45">
      <c r="A230" s="11" t="str">
        <f>B230&amp;COUNTIF($B$2:B230,B230)</f>
        <v>17 - TAMPÃO7</v>
      </c>
      <c r="B230" s="26" t="s">
        <v>135</v>
      </c>
      <c r="C230" s="28" t="s">
        <v>29</v>
      </c>
      <c r="D230" s="27" t="s">
        <v>142</v>
      </c>
      <c r="E230" s="28" t="str">
        <f>VLOOKUP(C230,Colaboradores!$E$2:$G$33,2,FALSE)</f>
        <v>Arthur</v>
      </c>
      <c r="F230" s="29">
        <v>10</v>
      </c>
      <c r="G230" s="38"/>
      <c r="H230" s="45">
        <v>0</v>
      </c>
    </row>
    <row r="231" spans="1:8" x14ac:dyDescent="0.45">
      <c r="A231" s="11" t="str">
        <f>B231&amp;COUNTIF($B$2:B231,B231)</f>
        <v>17 - TAMPÃO8</v>
      </c>
      <c r="B231" s="26" t="s">
        <v>135</v>
      </c>
      <c r="C231" s="28"/>
      <c r="D231" s="27"/>
      <c r="E231" s="28" t="e">
        <f>VLOOKUP(C231,Colaboradores!$E$2:$G$33,2,FALSE)</f>
        <v>#N/A</v>
      </c>
      <c r="F231" s="29"/>
      <c r="G231" s="38"/>
      <c r="H231" s="45"/>
    </row>
    <row r="232" spans="1:8" x14ac:dyDescent="0.45">
      <c r="A232" s="11" t="str">
        <f>B232&amp;COUNTIF($B$2:B232,B232)</f>
        <v>17 - TAMPÃO9</v>
      </c>
      <c r="B232" s="26" t="s">
        <v>135</v>
      </c>
      <c r="C232" s="28"/>
      <c r="D232" s="27"/>
      <c r="E232" s="28" t="e">
        <f>VLOOKUP(C232,Colaboradores!$E$2:$G$33,2,FALSE)</f>
        <v>#N/A</v>
      </c>
      <c r="F232" s="29"/>
      <c r="G232" s="38"/>
      <c r="H232" s="45"/>
    </row>
    <row r="233" spans="1:8" x14ac:dyDescent="0.45">
      <c r="A233" s="11" t="str">
        <f>B233&amp;COUNTIF($B$2:B233,B233)</f>
        <v>17 - TAMPÃO10</v>
      </c>
      <c r="B233" s="26" t="s">
        <v>135</v>
      </c>
      <c r="C233" s="28"/>
      <c r="D233" s="27"/>
      <c r="E233" s="28" t="e">
        <f>VLOOKUP(C233,Colaboradores!$E$2:$G$33,2,FALSE)</f>
        <v>#N/A</v>
      </c>
      <c r="F233" s="29"/>
      <c r="G233" s="38"/>
      <c r="H233" s="45"/>
    </row>
    <row r="234" spans="1:8" x14ac:dyDescent="0.45">
      <c r="A234" s="11" t="str">
        <f>B234&amp;COUNTIF($B$2:B234,B234)</f>
        <v>17 - TAMPÃO11</v>
      </c>
      <c r="B234" s="26" t="s">
        <v>135</v>
      </c>
      <c r="C234" s="28"/>
      <c r="D234" s="27"/>
      <c r="E234" s="28" t="e">
        <f>VLOOKUP(C234,Colaboradores!$E$2:$G$33,2,FALSE)</f>
        <v>#N/A</v>
      </c>
      <c r="F234" s="29"/>
      <c r="G234" s="38"/>
      <c r="H234" s="45"/>
    </row>
    <row r="235" spans="1:8" x14ac:dyDescent="0.45">
      <c r="A235" s="11" t="str">
        <f>B235&amp;COUNTIF($B$2:B235,B235)</f>
        <v>17 - TAMPÃO12</v>
      </c>
      <c r="B235" s="26" t="s">
        <v>135</v>
      </c>
      <c r="C235" s="28"/>
      <c r="D235" s="27"/>
      <c r="E235" s="28" t="e">
        <f>VLOOKUP(C235,Colaboradores!$E$2:$G$33,2,FALSE)</f>
        <v>#N/A</v>
      </c>
      <c r="F235" s="29"/>
      <c r="G235" s="38"/>
      <c r="H235" s="45"/>
    </row>
    <row r="236" spans="1:8" x14ac:dyDescent="0.45">
      <c r="A236" s="11" t="str">
        <f>B236&amp;COUNTIF($B$2:B236,B236)</f>
        <v>17 - TAMPÃO13</v>
      </c>
      <c r="B236" s="26" t="s">
        <v>135</v>
      </c>
      <c r="C236" s="28"/>
      <c r="D236" s="27"/>
      <c r="E236" s="28" t="e">
        <f>VLOOKUP(C236,Colaboradores!$E$2:$G$33,2,FALSE)</f>
        <v>#N/A</v>
      </c>
      <c r="F236" s="29"/>
      <c r="G236" s="38"/>
      <c r="H236" s="45"/>
    </row>
    <row r="237" spans="1:8" x14ac:dyDescent="0.45">
      <c r="A237" s="11" t="str">
        <f>B237&amp;COUNTIF($B$2:B237,B237)</f>
        <v>17 - TAMPÃO14</v>
      </c>
      <c r="B237" s="26" t="s">
        <v>135</v>
      </c>
      <c r="C237" s="28"/>
      <c r="D237" s="27"/>
      <c r="E237" s="28" t="e">
        <f>VLOOKUP(C237,Colaboradores!$E$2:$G$33,2,FALSE)</f>
        <v>#N/A</v>
      </c>
      <c r="F237" s="29"/>
      <c r="G237" s="38"/>
      <c r="H237" s="45"/>
    </row>
    <row r="238" spans="1:8" x14ac:dyDescent="0.45">
      <c r="A238" t="str">
        <f>B238&amp;COUNTIF($B$2:B238,B238)</f>
        <v>18 - MONTAGEM VEÍCULO1</v>
      </c>
      <c r="B238" s="30" t="s">
        <v>143</v>
      </c>
      <c r="C238" s="32" t="s">
        <v>29</v>
      </c>
      <c r="D238" s="31" t="s">
        <v>144</v>
      </c>
      <c r="E238" s="32" t="str">
        <f>VLOOKUP(C238,Colaboradores!$E$2:$G$33,2,FALSE)</f>
        <v>Arthur</v>
      </c>
      <c r="F238" s="33">
        <v>20</v>
      </c>
      <c r="G238" s="34"/>
      <c r="H238" s="45">
        <v>0</v>
      </c>
    </row>
    <row r="239" spans="1:8" x14ac:dyDescent="0.45">
      <c r="A239" t="str">
        <f>B239&amp;COUNTIF($B$2:B239,B239)</f>
        <v>18 - MONTAGEM VEÍCULO2</v>
      </c>
      <c r="B239" s="30" t="s">
        <v>143</v>
      </c>
      <c r="C239" s="32" t="s">
        <v>29</v>
      </c>
      <c r="D239" s="31" t="s">
        <v>145</v>
      </c>
      <c r="E239" s="32" t="str">
        <f>VLOOKUP(C239,Colaboradores!$E$2:$G$33,2,FALSE)</f>
        <v>Arthur</v>
      </c>
      <c r="F239" s="35">
        <v>0</v>
      </c>
      <c r="G239" s="36"/>
      <c r="H239" s="45"/>
    </row>
    <row r="240" spans="1:8" x14ac:dyDescent="0.45">
      <c r="A240" t="str">
        <f>B240&amp;COUNTIF($B$2:B240,B240)</f>
        <v>18 - MONTAGEM VEÍCULO3</v>
      </c>
      <c r="B240" s="30" t="s">
        <v>143</v>
      </c>
      <c r="C240" s="32" t="s">
        <v>29</v>
      </c>
      <c r="D240" s="31" t="s">
        <v>146</v>
      </c>
      <c r="E240" s="32" t="str">
        <f>VLOOKUP(C240,Colaboradores!$E$2:$G$33,2,FALSE)</f>
        <v>Arthur</v>
      </c>
      <c r="F240" s="33">
        <v>60</v>
      </c>
      <c r="G240" s="34"/>
      <c r="H240" s="45">
        <v>0</v>
      </c>
    </row>
    <row r="241" spans="1:8" x14ac:dyDescent="0.45">
      <c r="A241" t="str">
        <f>B241&amp;COUNTIF($B$2:B241,B241)</f>
        <v>18 - MONTAGEM VEÍCULO4</v>
      </c>
      <c r="B241" s="30" t="s">
        <v>143</v>
      </c>
      <c r="C241" s="32" t="s">
        <v>29</v>
      </c>
      <c r="D241" s="31" t="s">
        <v>147</v>
      </c>
      <c r="E241" s="32" t="str">
        <f>VLOOKUP(C241,Colaboradores!$E$2:$G$33,2,FALSE)</f>
        <v>Arthur</v>
      </c>
      <c r="F241" s="33">
        <v>20</v>
      </c>
      <c r="G241" s="34"/>
      <c r="H241" s="45">
        <v>0</v>
      </c>
    </row>
    <row r="242" spans="1:8" x14ac:dyDescent="0.45">
      <c r="A242" t="str">
        <f>B242&amp;COUNTIF($B$2:B242,B242)</f>
        <v>18 - MONTAGEM VEÍCULO5</v>
      </c>
      <c r="B242" s="30" t="s">
        <v>143</v>
      </c>
      <c r="C242" s="32" t="s">
        <v>29</v>
      </c>
      <c r="D242" s="31" t="s">
        <v>148</v>
      </c>
      <c r="E242" s="32" t="str">
        <f>VLOOKUP(C242,Colaboradores!$E$2:$G$33,2,FALSE)</f>
        <v>Arthur</v>
      </c>
      <c r="F242" s="33">
        <v>20</v>
      </c>
      <c r="G242" s="34"/>
      <c r="H242" s="45">
        <v>0</v>
      </c>
    </row>
    <row r="243" spans="1:8" x14ac:dyDescent="0.45">
      <c r="A243" t="str">
        <f>B243&amp;COUNTIF($B$2:B243,B243)</f>
        <v>18 - MONTAGEM VEÍCULO6</v>
      </c>
      <c r="B243" s="30" t="s">
        <v>143</v>
      </c>
      <c r="C243" s="32" t="s">
        <v>29</v>
      </c>
      <c r="D243" s="31" t="s">
        <v>149</v>
      </c>
      <c r="E243" s="32" t="str">
        <f>VLOOKUP(C243,Colaboradores!$E$2:$G$33,2,FALSE)</f>
        <v>Arthur</v>
      </c>
      <c r="F243" s="33">
        <v>60</v>
      </c>
      <c r="G243" s="34"/>
      <c r="H243" s="45">
        <v>0</v>
      </c>
    </row>
    <row r="244" spans="1:8" x14ac:dyDescent="0.45">
      <c r="A244" t="str">
        <f>B244&amp;COUNTIF($B$2:B244,B244)</f>
        <v>18 - MONTAGEM VEÍCULO7</v>
      </c>
      <c r="B244" s="30" t="s">
        <v>143</v>
      </c>
      <c r="C244" s="32" t="s">
        <v>29</v>
      </c>
      <c r="D244" s="31" t="s">
        <v>150</v>
      </c>
      <c r="E244" s="32" t="str">
        <f>VLOOKUP(C244,Colaboradores!$E$2:$G$33,2,FALSE)</f>
        <v>Arthur</v>
      </c>
      <c r="F244" s="33">
        <v>30</v>
      </c>
      <c r="G244" s="34"/>
      <c r="H244" s="45">
        <v>0</v>
      </c>
    </row>
    <row r="245" spans="1:8" x14ac:dyDescent="0.45">
      <c r="A245" t="str">
        <f>B245&amp;COUNTIF($B$2:B245,B245)</f>
        <v>18 - MONTAGEM VEÍCULO8</v>
      </c>
      <c r="B245" s="30" t="s">
        <v>143</v>
      </c>
      <c r="C245" s="32" t="s">
        <v>29</v>
      </c>
      <c r="D245" s="31" t="s">
        <v>151</v>
      </c>
      <c r="E245" s="32" t="str">
        <f>VLOOKUP(C245,Colaboradores!$E$2:$G$33,2,FALSE)</f>
        <v>Arthur</v>
      </c>
      <c r="F245" s="33">
        <v>60</v>
      </c>
      <c r="G245" s="34"/>
      <c r="H245" s="45">
        <v>0</v>
      </c>
    </row>
    <row r="246" spans="1:8" x14ac:dyDescent="0.45">
      <c r="A246" t="str">
        <f>B246&amp;COUNTIF($B$2:B246,B246)</f>
        <v>18 - MONTAGEM VEÍCULO9</v>
      </c>
      <c r="B246" s="30" t="s">
        <v>143</v>
      </c>
      <c r="C246" s="32" t="s">
        <v>29</v>
      </c>
      <c r="D246" s="31" t="s">
        <v>152</v>
      </c>
      <c r="E246" s="32" t="str">
        <f>VLOOKUP(C246,Colaboradores!$E$2:$G$33,2,FALSE)</f>
        <v>Arthur</v>
      </c>
      <c r="F246" s="33">
        <v>5</v>
      </c>
      <c r="G246" s="34"/>
      <c r="H246" s="45">
        <v>0</v>
      </c>
    </row>
    <row r="247" spans="1:8" x14ac:dyDescent="0.45">
      <c r="A247" t="str">
        <f>B247&amp;COUNTIF($B$2:B247,B247)</f>
        <v>18 - MONTAGEM VEÍCULO10</v>
      </c>
      <c r="B247" s="30" t="s">
        <v>143</v>
      </c>
      <c r="C247" s="32" t="s">
        <v>29</v>
      </c>
      <c r="D247" s="31" t="s">
        <v>153</v>
      </c>
      <c r="E247" s="32" t="str">
        <f>VLOOKUP(C247,Colaboradores!$E$2:$G$33,2,FALSE)</f>
        <v>Arthur</v>
      </c>
      <c r="F247" s="33">
        <v>15</v>
      </c>
      <c r="G247" s="34"/>
      <c r="H247" s="45">
        <v>0</v>
      </c>
    </row>
    <row r="248" spans="1:8" x14ac:dyDescent="0.45">
      <c r="A248" t="str">
        <f>B248&amp;COUNTIF($B$2:B248,B248)</f>
        <v>18 - MONTAGEM VEÍCULO11</v>
      </c>
      <c r="B248" s="30" t="s">
        <v>143</v>
      </c>
      <c r="C248" s="32"/>
      <c r="D248" s="31"/>
      <c r="E248" s="32" t="e">
        <f>VLOOKUP(C248,Colaboradores!$E$2:$G$33,2,FALSE)</f>
        <v>#N/A</v>
      </c>
      <c r="G248" s="34"/>
      <c r="H248" s="45"/>
    </row>
    <row r="249" spans="1:8" x14ac:dyDescent="0.45">
      <c r="A249" t="str">
        <f>B249&amp;COUNTIF($B$2:B249,B249)</f>
        <v>18 - MONTAGEM VEÍCULO12</v>
      </c>
      <c r="B249" s="30" t="s">
        <v>143</v>
      </c>
      <c r="C249" s="32"/>
      <c r="D249" s="31"/>
      <c r="E249" s="32" t="e">
        <f>VLOOKUP(C249,Colaboradores!$E$2:$G$33,2,FALSE)</f>
        <v>#N/A</v>
      </c>
      <c r="G249" s="34"/>
      <c r="H249" s="45"/>
    </row>
    <row r="250" spans="1:8" x14ac:dyDescent="0.45">
      <c r="A250" t="str">
        <f>B250&amp;COUNTIF($B$2:B250,B250)</f>
        <v>18 - MONTAGEM VEÍCULO13</v>
      </c>
      <c r="B250" s="30" t="s">
        <v>143</v>
      </c>
      <c r="C250" s="32"/>
      <c r="D250" s="31"/>
      <c r="E250" s="32" t="e">
        <f>VLOOKUP(C250,Colaboradores!$E$2:$G$33,2,FALSE)</f>
        <v>#N/A</v>
      </c>
      <c r="G250" s="34"/>
      <c r="H250" s="45"/>
    </row>
    <row r="251" spans="1:8" x14ac:dyDescent="0.45">
      <c r="A251" t="str">
        <f>B251&amp;COUNTIF($B$2:B251,B251)</f>
        <v>18 - MONTAGEM VEÍCULO14</v>
      </c>
      <c r="B251" s="30" t="s">
        <v>143</v>
      </c>
      <c r="C251" s="32"/>
      <c r="D251" s="31"/>
      <c r="E251" s="32" t="e">
        <f>VLOOKUP(C251,Colaboradores!$E$2:$G$33,2,FALSE)</f>
        <v>#N/A</v>
      </c>
      <c r="G251" s="34"/>
      <c r="H251" s="45"/>
    </row>
    <row r="252" spans="1:8" x14ac:dyDescent="0.45">
      <c r="A252" t="str">
        <f>B252&amp;COUNTIF($B$2:B252,B252)</f>
        <v>18 - MONTAGEM VEÍCULO15</v>
      </c>
      <c r="B252" s="30" t="s">
        <v>143</v>
      </c>
      <c r="C252" s="32"/>
      <c r="D252" s="31"/>
      <c r="E252" s="32" t="e">
        <f>VLOOKUP(C252,Colaboradores!$E$2:$G$33,2,FALSE)</f>
        <v>#N/A</v>
      </c>
      <c r="G252" s="34"/>
      <c r="H252" s="45"/>
    </row>
    <row r="253" spans="1:8" x14ac:dyDescent="0.45">
      <c r="A253" t="str">
        <f>B253&amp;COUNTIF($B$2:B253,B253)</f>
        <v>18 - MONTAGEM VEÍCULO16</v>
      </c>
      <c r="B253" s="30" t="s">
        <v>143</v>
      </c>
      <c r="C253" s="32"/>
      <c r="D253" s="31"/>
      <c r="E253" s="32" t="e">
        <f>VLOOKUP(C253,Colaboradores!$E$2:$G$33,2,FALSE)</f>
        <v>#N/A</v>
      </c>
      <c r="G253" s="34"/>
      <c r="H253" s="45"/>
    </row>
    <row r="254" spans="1:8" x14ac:dyDescent="0.45">
      <c r="A254" t="str">
        <f>B254&amp;COUNTIF($B$2:B254,B254)</f>
        <v>18 - MONTAGEM VEÍCULO17</v>
      </c>
      <c r="B254" s="30" t="s">
        <v>143</v>
      </c>
      <c r="C254" s="32"/>
      <c r="D254" s="31"/>
      <c r="E254" s="32" t="e">
        <f>VLOOKUP(C254,Colaboradores!$E$2:$G$33,2,FALSE)</f>
        <v>#N/A</v>
      </c>
      <c r="G254" s="34"/>
      <c r="H254" s="45"/>
    </row>
    <row r="255" spans="1:8" x14ac:dyDescent="0.45">
      <c r="A255" s="11" t="str">
        <f>B255&amp;COUNTIF($B$2:B255,B255)</f>
        <v>19 - LIMPEZA FINAL1</v>
      </c>
      <c r="B255" s="26" t="s">
        <v>154</v>
      </c>
      <c r="C255" s="28" t="s">
        <v>175</v>
      </c>
      <c r="D255" s="27" t="s">
        <v>155</v>
      </c>
      <c r="E255" s="28" t="str">
        <f>VLOOKUP(C255,Colaboradores!$E$2:$G$33,2,FALSE)</f>
        <v>Nikolas</v>
      </c>
      <c r="F255" s="29">
        <v>5</v>
      </c>
      <c r="G255" s="38"/>
      <c r="H255" s="45">
        <v>0</v>
      </c>
    </row>
    <row r="256" spans="1:8" x14ac:dyDescent="0.45">
      <c r="A256" s="11" t="str">
        <f>B256&amp;COUNTIF($B$2:B256,B256)</f>
        <v>19 - LIMPEZA FINAL2</v>
      </c>
      <c r="B256" s="26" t="s">
        <v>154</v>
      </c>
      <c r="C256" s="28" t="s">
        <v>175</v>
      </c>
      <c r="D256" s="27" t="s">
        <v>156</v>
      </c>
      <c r="E256" s="28" t="str">
        <f>VLOOKUP(C256,Colaboradores!$E$2:$G$33,2,FALSE)</f>
        <v>Nikolas</v>
      </c>
      <c r="F256" s="29">
        <v>5</v>
      </c>
      <c r="G256" s="38"/>
      <c r="H256" s="45">
        <v>0</v>
      </c>
    </row>
    <row r="257" spans="1:8" x14ac:dyDescent="0.45">
      <c r="A257" s="11" t="str">
        <f>B257&amp;COUNTIF($B$2:B257,B257)</f>
        <v>19 - LIMPEZA FINAL3</v>
      </c>
      <c r="B257" s="26" t="s">
        <v>154</v>
      </c>
      <c r="C257" s="28" t="s">
        <v>175</v>
      </c>
      <c r="D257" s="27" t="s">
        <v>157</v>
      </c>
      <c r="E257" s="28" t="str">
        <f>VLOOKUP(C257,Colaboradores!$E$2:$G$33,2,FALSE)</f>
        <v>Nikolas</v>
      </c>
      <c r="F257" s="29">
        <v>5</v>
      </c>
      <c r="G257" s="38"/>
      <c r="H257" s="45">
        <v>0</v>
      </c>
    </row>
    <row r="258" spans="1:8" x14ac:dyDescent="0.45">
      <c r="A258" s="11" t="str">
        <f>B258&amp;COUNTIF($B$2:B258,B258)</f>
        <v>19 - LIMPEZA FINAL4</v>
      </c>
      <c r="B258" s="26" t="s">
        <v>154</v>
      </c>
      <c r="C258" s="28" t="s">
        <v>175</v>
      </c>
      <c r="D258" s="27" t="s">
        <v>158</v>
      </c>
      <c r="E258" s="28" t="str">
        <f>VLOOKUP(C258,Colaboradores!$E$2:$G$33,2,FALSE)</f>
        <v>Nikolas</v>
      </c>
      <c r="F258" s="29">
        <v>5</v>
      </c>
      <c r="G258" s="38"/>
      <c r="H258" s="45">
        <v>0</v>
      </c>
    </row>
    <row r="259" spans="1:8" x14ac:dyDescent="0.45">
      <c r="A259" s="11" t="str">
        <f>B259&amp;COUNTIF($B$2:B259,B259)</f>
        <v>19 - LIMPEZA FINAL5</v>
      </c>
      <c r="B259" s="26" t="s">
        <v>154</v>
      </c>
      <c r="C259" s="28" t="s">
        <v>175</v>
      </c>
      <c r="D259" s="27" t="s">
        <v>159</v>
      </c>
      <c r="E259" s="28" t="str">
        <f>VLOOKUP(C259,Colaboradores!$E$2:$G$33,2,FALSE)</f>
        <v>Nikolas</v>
      </c>
      <c r="F259" s="29">
        <v>10</v>
      </c>
      <c r="G259" s="38"/>
      <c r="H259" s="45">
        <v>0</v>
      </c>
    </row>
    <row r="260" spans="1:8" x14ac:dyDescent="0.45">
      <c r="A260" s="11" t="str">
        <f>B260&amp;COUNTIF($B$2:B260,B260)</f>
        <v>19 - LIMPEZA FINAL6</v>
      </c>
      <c r="B260" s="26" t="s">
        <v>154</v>
      </c>
      <c r="C260" s="28" t="s">
        <v>175</v>
      </c>
      <c r="D260" s="27" t="s">
        <v>160</v>
      </c>
      <c r="E260" s="28" t="str">
        <f>VLOOKUP(C260,Colaboradores!$E$2:$G$33,2,FALSE)</f>
        <v>Nikolas</v>
      </c>
      <c r="F260" s="29">
        <v>10</v>
      </c>
      <c r="G260" s="38"/>
      <c r="H260" s="45">
        <v>0</v>
      </c>
    </row>
    <row r="261" spans="1:8" x14ac:dyDescent="0.45">
      <c r="A261" s="11" t="str">
        <f>B261&amp;COUNTIF($B$2:B261,B261)</f>
        <v>19 - LIMPEZA FINAL7</v>
      </c>
      <c r="B261" s="26" t="s">
        <v>154</v>
      </c>
      <c r="C261" s="28" t="s">
        <v>175</v>
      </c>
      <c r="D261" s="27" t="s">
        <v>161</v>
      </c>
      <c r="E261" s="28" t="str">
        <f>VLOOKUP(C261,Colaboradores!$E$2:$G$33,2,FALSE)</f>
        <v>Nikolas</v>
      </c>
      <c r="F261" s="29">
        <v>5</v>
      </c>
      <c r="G261" s="38"/>
      <c r="H261" s="45">
        <v>0</v>
      </c>
    </row>
    <row r="262" spans="1:8" x14ac:dyDescent="0.45">
      <c r="A262" s="11" t="str">
        <f>B262&amp;COUNTIF($B$2:B262,B262)</f>
        <v>19 - LIMPEZA FINAL8</v>
      </c>
      <c r="B262" s="26" t="s">
        <v>154</v>
      </c>
      <c r="C262" s="28" t="s">
        <v>175</v>
      </c>
      <c r="D262" s="27" t="s">
        <v>162</v>
      </c>
      <c r="E262" s="28" t="str">
        <f>VLOOKUP(C262,Colaboradores!$E$2:$G$33,2,FALSE)</f>
        <v>Nikolas</v>
      </c>
      <c r="F262" s="29">
        <v>5</v>
      </c>
      <c r="G262" s="38"/>
      <c r="H262" s="45">
        <v>0</v>
      </c>
    </row>
    <row r="263" spans="1:8" x14ac:dyDescent="0.45">
      <c r="A263" s="11" t="str">
        <f>B263&amp;COUNTIF($B$2:B263,B263)</f>
        <v>19 - LIMPEZA FINAL9</v>
      </c>
      <c r="B263" s="26" t="s">
        <v>154</v>
      </c>
      <c r="C263" s="28" t="s">
        <v>175</v>
      </c>
      <c r="D263" s="27" t="s">
        <v>163</v>
      </c>
      <c r="E263" s="28" t="str">
        <f>VLOOKUP(C263,Colaboradores!$E$2:$G$33,2,FALSE)</f>
        <v>Nikolas</v>
      </c>
      <c r="F263" s="29">
        <v>5</v>
      </c>
      <c r="G263" s="38"/>
      <c r="H263" s="45">
        <v>0</v>
      </c>
    </row>
    <row r="264" spans="1:8" x14ac:dyDescent="0.45">
      <c r="A264" s="11" t="str">
        <f>B264&amp;COUNTIF($B$2:B264,B264)</f>
        <v>19 - LIMPEZA FINAL10</v>
      </c>
      <c r="B264" s="26" t="s">
        <v>154</v>
      </c>
      <c r="C264" s="28" t="s">
        <v>175</v>
      </c>
      <c r="D264" s="27" t="s">
        <v>164</v>
      </c>
      <c r="E264" s="28" t="str">
        <f>VLOOKUP(C264,Colaboradores!$E$2:$G$33,2,FALSE)</f>
        <v>Nikolas</v>
      </c>
      <c r="F264" s="29">
        <v>5</v>
      </c>
      <c r="G264" s="38"/>
      <c r="H264" s="45">
        <v>0</v>
      </c>
    </row>
    <row r="265" spans="1:8" x14ac:dyDescent="0.45">
      <c r="A265" s="11" t="str">
        <f>B265&amp;COUNTIF($B$2:B265,B265)</f>
        <v>19 - LIMPEZA FINAL11</v>
      </c>
      <c r="B265" s="26" t="s">
        <v>154</v>
      </c>
      <c r="C265" s="28"/>
      <c r="D265" s="27"/>
      <c r="E265" s="28" t="e">
        <f>VLOOKUP(C265,Colaboradores!$E$2:$G$33,2,FALSE)</f>
        <v>#N/A</v>
      </c>
      <c r="F265" s="29"/>
      <c r="G265" s="38"/>
      <c r="H265" s="45"/>
    </row>
    <row r="266" spans="1:8" x14ac:dyDescent="0.45">
      <c r="A266" s="11" t="str">
        <f>B266&amp;COUNTIF($B$2:B266,B266)</f>
        <v>19 - LIMPEZA FINAL12</v>
      </c>
      <c r="B266" s="26" t="s">
        <v>154</v>
      </c>
      <c r="C266" s="28"/>
      <c r="D266" s="27"/>
      <c r="E266" s="28" t="e">
        <f>VLOOKUP(C266,Colaboradores!$E$2:$G$33,2,FALSE)</f>
        <v>#N/A</v>
      </c>
      <c r="F266" s="29"/>
      <c r="G266" s="38"/>
      <c r="H266" s="45"/>
    </row>
    <row r="267" spans="1:8" x14ac:dyDescent="0.45">
      <c r="A267" s="11" t="str">
        <f>B267&amp;COUNTIF($B$2:B267,B267)</f>
        <v>19 - LIMPEZA FINAL13</v>
      </c>
      <c r="B267" s="26" t="s">
        <v>154</v>
      </c>
      <c r="C267" s="28"/>
      <c r="D267" s="27"/>
      <c r="E267" s="28" t="e">
        <f>VLOOKUP(C267,Colaboradores!$E$2:$G$33,2,FALSE)</f>
        <v>#N/A</v>
      </c>
      <c r="F267" s="29"/>
      <c r="G267" s="38"/>
      <c r="H267" s="45"/>
    </row>
    <row r="268" spans="1:8" x14ac:dyDescent="0.45">
      <c r="A268" s="11" t="str">
        <f>B268&amp;COUNTIF($B$2:B268,B268)</f>
        <v>19 - LIMPEZA FINAL14</v>
      </c>
      <c r="B268" s="26" t="s">
        <v>154</v>
      </c>
      <c r="C268" s="28"/>
      <c r="D268" s="27"/>
      <c r="E268" s="28" t="e">
        <f>VLOOKUP(C268,Colaboradores!$E$2:$G$33,2,FALSE)</f>
        <v>#N/A</v>
      </c>
      <c r="F268" s="29"/>
      <c r="G268" s="38"/>
      <c r="H268" s="45"/>
    </row>
    <row r="269" spans="1:8" x14ac:dyDescent="0.45">
      <c r="A269" s="11" t="str">
        <f>B269&amp;COUNTIF($B$2:B269,B269)</f>
        <v>19 - LIMPEZA FINAL15</v>
      </c>
      <c r="B269" s="26" t="s">
        <v>154</v>
      </c>
      <c r="C269" s="28"/>
      <c r="D269" s="27"/>
      <c r="E269" s="28" t="e">
        <f>VLOOKUP(C269,Colaboradores!$E$2:$G$33,2,FALSE)</f>
        <v>#N/A</v>
      </c>
      <c r="F269" s="29"/>
      <c r="G269" s="38"/>
      <c r="H269" s="45"/>
    </row>
    <row r="270" spans="1:8" x14ac:dyDescent="0.45">
      <c r="A270" t="str">
        <f>B270&amp;COUNTIF($B$2:B270,B270)</f>
        <v>20 - INPEÇÃO DE QUALIDADE1</v>
      </c>
      <c r="B270" s="30" t="s">
        <v>165</v>
      </c>
      <c r="C270" s="32" t="s">
        <v>176</v>
      </c>
      <c r="D270" s="31" t="s">
        <v>166</v>
      </c>
      <c r="E270" s="32" t="str">
        <f>VLOOKUP(C270,Colaboradores!$E$2:$G$33,2,FALSE)</f>
        <v>Rapucci</v>
      </c>
      <c r="F270" s="33">
        <v>15</v>
      </c>
      <c r="G270" s="34"/>
      <c r="H270" s="45">
        <v>0</v>
      </c>
    </row>
  </sheetData>
  <sheetProtection autoFilter="0"/>
  <autoFilter ref="A1:G270" xr:uid="{CC1D63DA-FBAA-441B-A2F5-8157E5886E4D}"/>
  <phoneticPr fontId="3" type="noConversion"/>
  <conditionalFormatting sqref="H2:H270">
    <cfRule type="cellIs" dxfId="94" priority="4" operator="notEqual">
      <formula>G2&gt;0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1C18F7-B718-4C6F-8FA8-BB6A485B06A9}">
          <x14:formula1>
            <xm:f>Colaboradores!$A$2:$A$41</xm:f>
          </x14:formula1>
          <xm:sqref>E2:E270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738C-89FA-4CE0-9746-B056F57BB33D}">
  <sheetPr>
    <tabColor theme="0" tint="-0.499984740745262"/>
  </sheetPr>
  <dimension ref="A1:G33"/>
  <sheetViews>
    <sheetView showGridLines="0" zoomScale="120" zoomScaleNormal="120" workbookViewId="0">
      <selection activeCell="F2" sqref="F2"/>
    </sheetView>
  </sheetViews>
  <sheetFormatPr defaultRowHeight="14.25" x14ac:dyDescent="0.45"/>
  <cols>
    <col min="1" max="1" width="13.265625" style="7" bestFit="1" customWidth="1"/>
    <col min="2" max="4" width="9.06640625" style="7"/>
    <col min="5" max="5" width="14.73046875" style="7" customWidth="1"/>
    <col min="6" max="6" width="16.265625" style="7" customWidth="1"/>
    <col min="7" max="7" width="21.53125" style="7" customWidth="1"/>
    <col min="8" max="10" width="9.06640625" style="7"/>
    <col min="11" max="11" width="14.73046875" style="7" bestFit="1" customWidth="1"/>
    <col min="12" max="12" width="8.73046875" style="7" bestFit="1" customWidth="1"/>
    <col min="13" max="13" width="6.19921875" style="7" bestFit="1" customWidth="1"/>
    <col min="14" max="14" width="8.46484375" style="7" bestFit="1" customWidth="1"/>
    <col min="15" max="15" width="13.796875" style="7" bestFit="1" customWidth="1"/>
    <col min="16" max="16" width="7.53125" style="7" bestFit="1" customWidth="1"/>
    <col min="17" max="17" width="11.53125" style="7" bestFit="1" customWidth="1"/>
    <col min="18" max="18" width="7.6640625" style="7" bestFit="1" customWidth="1"/>
    <col min="19" max="20" width="11.265625" style="7" bestFit="1" customWidth="1"/>
    <col min="21" max="21" width="10.59765625" style="7" bestFit="1" customWidth="1"/>
    <col min="22" max="22" width="8.06640625" style="7" bestFit="1" customWidth="1"/>
    <col min="23" max="23" width="14.46484375" style="7" bestFit="1" customWidth="1"/>
    <col min="24" max="24" width="11.6640625" style="7" bestFit="1" customWidth="1"/>
    <col min="25" max="25" width="10.19921875" style="7" bestFit="1" customWidth="1"/>
    <col min="26" max="27" width="11.53125" style="7" bestFit="1" customWidth="1"/>
    <col min="28" max="16384" width="9.06640625" style="7"/>
  </cols>
  <sheetData>
    <row r="1" spans="1:7" ht="28.5" x14ac:dyDescent="0.45">
      <c r="A1" t="s">
        <v>199</v>
      </c>
      <c r="B1"/>
      <c r="C1" s="1" t="s">
        <v>178</v>
      </c>
      <c r="D1"/>
      <c r="E1" s="3" t="s">
        <v>172</v>
      </c>
      <c r="F1" s="12" t="s">
        <v>201</v>
      </c>
      <c r="G1" s="12" t="s">
        <v>202</v>
      </c>
    </row>
    <row r="2" spans="1:7" x14ac:dyDescent="0.45">
      <c r="A2" s="7" t="s">
        <v>181</v>
      </c>
      <c r="E2" s="7" t="s">
        <v>17</v>
      </c>
      <c r="F2" s="7" t="s">
        <v>63</v>
      </c>
      <c r="G2" s="7" t="s">
        <v>188</v>
      </c>
    </row>
    <row r="3" spans="1:7" x14ac:dyDescent="0.45">
      <c r="A3" s="7" t="s">
        <v>109</v>
      </c>
      <c r="E3" s="7" t="s">
        <v>17</v>
      </c>
      <c r="F3" s="7" t="s">
        <v>181</v>
      </c>
      <c r="G3" s="7" t="s">
        <v>188</v>
      </c>
    </row>
    <row r="4" spans="1:7" x14ac:dyDescent="0.45">
      <c r="A4" s="7" t="s">
        <v>69</v>
      </c>
      <c r="E4" s="7" t="s">
        <v>17</v>
      </c>
      <c r="F4" s="7" t="s">
        <v>73</v>
      </c>
      <c r="G4" s="7" t="s">
        <v>188</v>
      </c>
    </row>
    <row r="5" spans="1:7" x14ac:dyDescent="0.45">
      <c r="A5" s="7" t="s">
        <v>63</v>
      </c>
      <c r="E5" s="7" t="s">
        <v>27</v>
      </c>
      <c r="F5" s="7" t="s">
        <v>69</v>
      </c>
      <c r="G5" s="7" t="s">
        <v>69</v>
      </c>
    </row>
    <row r="6" spans="1:7" x14ac:dyDescent="0.45">
      <c r="A6" s="7" t="s">
        <v>182</v>
      </c>
      <c r="E6" s="7" t="s">
        <v>15</v>
      </c>
      <c r="F6" s="7" t="s">
        <v>184</v>
      </c>
      <c r="G6" s="7" t="s">
        <v>188</v>
      </c>
    </row>
    <row r="7" spans="1:7" x14ac:dyDescent="0.45">
      <c r="A7" s="7" t="s">
        <v>73</v>
      </c>
      <c r="E7" s="7" t="s">
        <v>35</v>
      </c>
      <c r="F7" s="7" t="s">
        <v>109</v>
      </c>
      <c r="G7" s="7" t="s">
        <v>109</v>
      </c>
    </row>
    <row r="8" spans="1:7" x14ac:dyDescent="0.45">
      <c r="A8" s="7" t="s">
        <v>183</v>
      </c>
      <c r="E8" s="7" t="s">
        <v>3</v>
      </c>
      <c r="F8" s="7" t="s">
        <v>73</v>
      </c>
      <c r="G8" s="7" t="s">
        <v>188</v>
      </c>
    </row>
    <row r="9" spans="1:7" x14ac:dyDescent="0.45">
      <c r="A9" s="7" t="s">
        <v>189</v>
      </c>
      <c r="E9" s="7" t="s">
        <v>3</v>
      </c>
      <c r="F9" s="7" t="s">
        <v>63</v>
      </c>
      <c r="G9" s="7" t="s">
        <v>188</v>
      </c>
    </row>
    <row r="10" spans="1:7" x14ac:dyDescent="0.45">
      <c r="A10" s="7" t="s">
        <v>184</v>
      </c>
      <c r="E10" s="7" t="s">
        <v>3</v>
      </c>
      <c r="F10" s="7" t="s">
        <v>181</v>
      </c>
      <c r="G10" s="7" t="s">
        <v>188</v>
      </c>
    </row>
    <row r="11" spans="1:7" x14ac:dyDescent="0.45">
      <c r="A11" s="7" t="s">
        <v>185</v>
      </c>
      <c r="E11" s="7" t="s">
        <v>106</v>
      </c>
      <c r="F11" s="7" t="s">
        <v>181</v>
      </c>
      <c r="G11" s="7" t="s">
        <v>192</v>
      </c>
    </row>
    <row r="12" spans="1:7" x14ac:dyDescent="0.45">
      <c r="A12" s="7" t="s">
        <v>167</v>
      </c>
      <c r="E12" s="7" t="s">
        <v>106</v>
      </c>
      <c r="F12" s="7" t="s">
        <v>63</v>
      </c>
      <c r="G12" s="7" t="s">
        <v>192</v>
      </c>
    </row>
    <row r="13" spans="1:7" x14ac:dyDescent="0.45">
      <c r="E13" s="7" t="s">
        <v>106</v>
      </c>
      <c r="F13" s="7" t="s">
        <v>182</v>
      </c>
      <c r="G13" s="7" t="s">
        <v>192</v>
      </c>
    </row>
    <row r="14" spans="1:7" x14ac:dyDescent="0.45">
      <c r="E14" s="7" t="s">
        <v>106</v>
      </c>
      <c r="F14" s="7" t="s">
        <v>73</v>
      </c>
      <c r="G14" s="7" t="s">
        <v>192</v>
      </c>
    </row>
    <row r="15" spans="1:7" x14ac:dyDescent="0.45">
      <c r="E15" s="7" t="s">
        <v>78</v>
      </c>
      <c r="F15" s="7" t="s">
        <v>182</v>
      </c>
      <c r="G15" s="7" t="s">
        <v>187</v>
      </c>
    </row>
    <row r="16" spans="1:7" x14ac:dyDescent="0.45">
      <c r="E16" s="7" t="s">
        <v>78</v>
      </c>
      <c r="F16" s="7" t="s">
        <v>69</v>
      </c>
      <c r="G16" s="7" t="s">
        <v>187</v>
      </c>
    </row>
    <row r="17" spans="5:7" x14ac:dyDescent="0.45">
      <c r="E17" s="7" t="s">
        <v>175</v>
      </c>
      <c r="F17" s="7" t="s">
        <v>73</v>
      </c>
      <c r="G17" s="7" t="s">
        <v>188</v>
      </c>
    </row>
    <row r="18" spans="5:7" x14ac:dyDescent="0.45">
      <c r="E18" s="7" t="s">
        <v>175</v>
      </c>
      <c r="F18" s="7" t="s">
        <v>63</v>
      </c>
      <c r="G18" s="7" t="s">
        <v>188</v>
      </c>
    </row>
    <row r="19" spans="5:7" x14ac:dyDescent="0.45">
      <c r="E19" s="7" t="s">
        <v>175</v>
      </c>
      <c r="F19" s="7" t="s">
        <v>181</v>
      </c>
      <c r="G19" s="7" t="s">
        <v>188</v>
      </c>
    </row>
    <row r="20" spans="5:7" x14ac:dyDescent="0.45">
      <c r="E20" s="7" t="s">
        <v>46</v>
      </c>
      <c r="F20" s="7" t="s">
        <v>182</v>
      </c>
      <c r="G20" s="7" t="s">
        <v>193</v>
      </c>
    </row>
    <row r="21" spans="5:7" x14ac:dyDescent="0.45">
      <c r="E21" s="7" t="s">
        <v>46</v>
      </c>
      <c r="F21" s="7" t="s">
        <v>184</v>
      </c>
      <c r="G21" s="7" t="s">
        <v>193</v>
      </c>
    </row>
    <row r="22" spans="5:7" x14ac:dyDescent="0.45">
      <c r="E22" s="7" t="s">
        <v>29</v>
      </c>
      <c r="F22" s="7" t="s">
        <v>182</v>
      </c>
      <c r="G22" s="7" t="s">
        <v>187</v>
      </c>
    </row>
    <row r="23" spans="5:7" x14ac:dyDescent="0.45">
      <c r="E23" s="7" t="s">
        <v>29</v>
      </c>
      <c r="F23" s="7" t="s">
        <v>69</v>
      </c>
      <c r="G23" s="7" t="s">
        <v>187</v>
      </c>
    </row>
    <row r="24" spans="5:7" x14ac:dyDescent="0.45">
      <c r="E24" s="7" t="s">
        <v>117</v>
      </c>
      <c r="F24" s="7" t="s">
        <v>189</v>
      </c>
      <c r="G24" s="7" t="s">
        <v>189</v>
      </c>
    </row>
    <row r="25" spans="5:7" x14ac:dyDescent="0.45">
      <c r="E25" s="7" t="s">
        <v>49</v>
      </c>
      <c r="F25" s="7" t="s">
        <v>181</v>
      </c>
      <c r="G25" s="7" t="s">
        <v>194</v>
      </c>
    </row>
    <row r="26" spans="5:7" x14ac:dyDescent="0.45">
      <c r="E26" s="7" t="s">
        <v>49</v>
      </c>
      <c r="F26" s="7" t="s">
        <v>182</v>
      </c>
      <c r="G26" s="7" t="s">
        <v>194</v>
      </c>
    </row>
    <row r="27" spans="5:7" x14ac:dyDescent="0.45">
      <c r="E27" s="7" t="s">
        <v>49</v>
      </c>
      <c r="F27" s="7" t="s">
        <v>69</v>
      </c>
      <c r="G27" s="7" t="s">
        <v>194</v>
      </c>
    </row>
    <row r="28" spans="5:7" x14ac:dyDescent="0.45">
      <c r="E28" s="7" t="s">
        <v>12</v>
      </c>
      <c r="F28" s="7" t="s">
        <v>73</v>
      </c>
      <c r="G28" s="7" t="s">
        <v>188</v>
      </c>
    </row>
    <row r="29" spans="5:7" x14ac:dyDescent="0.45">
      <c r="E29" s="7" t="s">
        <v>12</v>
      </c>
      <c r="F29" s="7" t="s">
        <v>63</v>
      </c>
      <c r="G29" s="7" t="s">
        <v>188</v>
      </c>
    </row>
    <row r="30" spans="5:7" x14ac:dyDescent="0.45">
      <c r="E30" s="7" t="s">
        <v>12</v>
      </c>
      <c r="F30" s="7" t="s">
        <v>181</v>
      </c>
      <c r="G30" s="7" t="s">
        <v>188</v>
      </c>
    </row>
    <row r="31" spans="5:7" x14ac:dyDescent="0.45">
      <c r="E31" s="7" t="s">
        <v>176</v>
      </c>
      <c r="F31" s="7" t="s">
        <v>167</v>
      </c>
      <c r="G31" s="7" t="s">
        <v>167</v>
      </c>
    </row>
    <row r="32" spans="5:7" x14ac:dyDescent="0.45">
      <c r="E32" s="7" t="s">
        <v>104</v>
      </c>
      <c r="F32" s="7" t="s">
        <v>183</v>
      </c>
      <c r="G32" s="7" t="s">
        <v>183</v>
      </c>
    </row>
    <row r="33" spans="5:7" x14ac:dyDescent="0.45">
      <c r="E33" s="7" t="s">
        <v>195</v>
      </c>
      <c r="F33" s="7" t="s">
        <v>183</v>
      </c>
      <c r="G33" s="7" t="s">
        <v>183</v>
      </c>
    </row>
  </sheetData>
  <sheetProtection algorithmName="SHA-512" hashValue="nzIWyr49fhkmQIHT1K5TAEL3NJZst+NbAiNcStyxGZq5AviII7+EMsUld8ufYZbf6j3eyOO+c+CDrfgO5fynJw==" saltValue="aBMs5IfCdwSHj7wMZftaQ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9EBF-268D-4E9F-B8B8-C9B95A674287}">
  <sheetPr>
    <tabColor theme="1" tint="4.9989318521683403E-2"/>
  </sheetPr>
  <dimension ref="A1:L501"/>
  <sheetViews>
    <sheetView showGridLines="0" zoomScale="80" zoomScaleNormal="80" workbookViewId="0">
      <selection sqref="A1:XFD1048576"/>
    </sheetView>
  </sheetViews>
  <sheetFormatPr defaultColWidth="7.86328125" defaultRowHeight="15" customHeight="1" x14ac:dyDescent="0.45"/>
  <cols>
    <col min="1" max="1" width="7.86328125" style="56"/>
    <col min="2" max="2" width="7.86328125" style="57"/>
    <col min="3" max="6" width="7.86328125" style="23"/>
    <col min="7" max="7" width="50.86328125" style="57" bestFit="1" customWidth="1"/>
    <col min="8" max="16384" width="7.86328125" style="57"/>
  </cols>
  <sheetData>
    <row r="1" spans="6:12" ht="15" customHeight="1" x14ac:dyDescent="0.45">
      <c r="G1" s="57" t="s">
        <v>0</v>
      </c>
      <c r="H1" s="57" t="s">
        <v>173</v>
      </c>
      <c r="I1" s="57" t="s">
        <v>174</v>
      </c>
      <c r="J1" s="57" t="s">
        <v>1</v>
      </c>
      <c r="K1" s="57" t="s">
        <v>190</v>
      </c>
      <c r="L1" s="57" t="s">
        <v>191</v>
      </c>
    </row>
    <row r="2" spans="6:12" ht="15" customHeight="1" x14ac:dyDescent="0.45">
      <c r="F2" s="23">
        <v>1</v>
      </c>
      <c r="G2" s="57" t="str" cm="1">
        <f t="array" ref="G2:K2">IFERROR(VLOOKUP(GERENCIAMENTO!$D$23&amp;ROW(A1),'ATIVIDADES E APONTAMENTOS'!$A:$F,{2,3,4,5,6},0),"Não Executar")</f>
        <v>1 - RETIRADA DE PEÇAS DO VEÍCULO/BALCÃO</v>
      </c>
      <c r="H2" s="57" t="str">
        <v>DESMONTAGEM</v>
      </c>
      <c r="I2" s="57" t="str">
        <v>Verificar se não tem nenhuma peça quebrada ou faltante, riscos externos e internos (Checklist durante desmontagem (Foto/Filmagem)</v>
      </c>
      <c r="J2" s="57" t="str">
        <v>Kadu</v>
      </c>
      <c r="K2" s="57">
        <v>15</v>
      </c>
      <c r="L2" s="58">
        <f>K2/60</f>
        <v>0.25</v>
      </c>
    </row>
    <row r="3" spans="6:12" ht="15" customHeight="1" x14ac:dyDescent="0.45">
      <c r="F3" s="23">
        <v>2</v>
      </c>
      <c r="G3" s="57" t="str" cm="1">
        <f t="array" ref="G3:K3">IFERROR(VLOOKUP(GERENCIAMENTO!$D$23&amp;ROW(A2),'ATIVIDADES E APONTAMENTOS'!$A:$F,{2,3,4,5,6},0),"Não Executar")</f>
        <v>1 - RETIRADA DE PEÇAS DO VEÍCULO/BALCÃO</v>
      </c>
      <c r="H3" s="57" t="str">
        <v>DESMONTAGEM</v>
      </c>
      <c r="I3" s="57" t="str">
        <v>Retirada do volante (se necessário)</v>
      </c>
      <c r="J3" s="57" t="str">
        <v>Kadu</v>
      </c>
      <c r="K3" s="57">
        <v>20</v>
      </c>
      <c r="L3" s="58">
        <f t="shared" ref="L3:L66" si="0">K3/60</f>
        <v>0.33333333333333331</v>
      </c>
    </row>
    <row r="4" spans="6:12" ht="15" customHeight="1" x14ac:dyDescent="0.45">
      <c r="F4" s="23">
        <v>3</v>
      </c>
      <c r="G4" s="57" t="str" cm="1">
        <f t="array" ref="G4:K4">IFERROR(VLOOKUP(GERENCIAMENTO!$D$23&amp;ROW(A3),'ATIVIDADES E APONTAMENTOS'!$A:$F,{2,3,4,5,6},0),"Não Executar")</f>
        <v>1 - RETIRADA DE PEÇAS DO VEÍCULO/BALCÃO</v>
      </c>
      <c r="H4" s="57" t="str">
        <v>DESMONTAGEM</v>
      </c>
      <c r="I4" s="57" t="str">
        <v>Retirar bancos D/T</v>
      </c>
      <c r="J4" s="57" t="str">
        <v>Kadu</v>
      </c>
      <c r="K4" s="57">
        <v>10</v>
      </c>
      <c r="L4" s="58">
        <f t="shared" si="0"/>
        <v>0.16666666666666666</v>
      </c>
    </row>
    <row r="5" spans="6:12" ht="15" customHeight="1" x14ac:dyDescent="0.45">
      <c r="F5" s="23">
        <v>4</v>
      </c>
      <c r="G5" s="57" t="str" cm="1">
        <f t="array" ref="G5:K5">IFERROR(VLOOKUP(GERENCIAMENTO!$D$23&amp;ROW(A4),'ATIVIDADES E APONTAMENTOS'!$A:$F,{2,3,4,5,6},0),"Não Executar")</f>
        <v>1 - RETIRADA DE PEÇAS DO VEÍCULO/BALCÃO</v>
      </c>
      <c r="H5" s="57" t="str">
        <v>DESMONTAGEM</v>
      </c>
      <c r="I5" s="57" t="str">
        <v>Retirar Laterais D/T + Ombreiras</v>
      </c>
      <c r="J5" s="57" t="str">
        <v>Brea</v>
      </c>
      <c r="K5" s="57">
        <v>15</v>
      </c>
      <c r="L5" s="58">
        <f t="shared" si="0"/>
        <v>0.25</v>
      </c>
    </row>
    <row r="6" spans="6:12" ht="15" customHeight="1" x14ac:dyDescent="0.45">
      <c r="F6" s="23">
        <v>5</v>
      </c>
      <c r="G6" s="57" t="str" cm="1">
        <f t="array" ref="G6:K6">IFERROR(VLOOKUP(GERENCIAMENTO!$D$23&amp;ROW(A5),'ATIVIDADES E APONTAMENTOS'!$A:$F,{2,3,4,5,6},0),"Não Executar")</f>
        <v>1 - RETIRADA DE PEÇAS DO VEÍCULO/BALCÃO</v>
      </c>
      <c r="H6" s="57" t="str">
        <v>DESMONTAGEM</v>
      </c>
      <c r="I6" s="57" t="str">
        <v xml:space="preserve">Retirar console + carpete do assoalho </v>
      </c>
      <c r="J6" s="57" t="str">
        <v>Nikolas</v>
      </c>
      <c r="K6" s="57">
        <v>40</v>
      </c>
      <c r="L6" s="58">
        <f t="shared" si="0"/>
        <v>0.66666666666666663</v>
      </c>
    </row>
    <row r="7" spans="6:12" ht="15" customHeight="1" x14ac:dyDescent="0.45">
      <c r="F7" s="23">
        <v>6</v>
      </c>
      <c r="G7" s="57" t="str" cm="1">
        <f t="array" ref="G7:K7">IFERROR(VLOOKUP(GERENCIAMENTO!$D$23&amp;ROW(A6),'ATIVIDADES E APONTAMENTOS'!$A:$F,{2,3,4,5,6},0),"Não Executar")</f>
        <v>1 - RETIRADA DE PEÇAS DO VEÍCULO/BALCÃO</v>
      </c>
      <c r="H7" s="57" t="str">
        <v>DESMONTAGEM</v>
      </c>
      <c r="I7" s="57" t="str">
        <v xml:space="preserve">Retirada da lateral do porta-malas </v>
      </c>
      <c r="J7" s="57" t="str">
        <v>Nikolas</v>
      </c>
      <c r="K7" s="57">
        <v>15</v>
      </c>
      <c r="L7" s="58">
        <f t="shared" si="0"/>
        <v>0.25</v>
      </c>
    </row>
    <row r="8" spans="6:12" ht="15" customHeight="1" x14ac:dyDescent="0.45">
      <c r="F8" s="23">
        <v>7</v>
      </c>
      <c r="G8" s="57" t="str" cm="1">
        <f t="array" ref="G8:K8">IFERROR(VLOOKUP(GERENCIAMENTO!$D$23&amp;ROW(A7),'ATIVIDADES E APONTAMENTOS'!$A:$F,{2,3,4,5,6},0),"Não Executar")</f>
        <v>1 - RETIRADA DE PEÇAS DO VEÍCULO/BALCÃO</v>
      </c>
      <c r="H8" s="57" t="str">
        <v>DESMONTAGEM</v>
      </c>
      <c r="I8" s="57" t="str">
        <v>Retirada do carpete da caixa de rodas +chão do porta-malas e prateleiras do tampão.</v>
      </c>
      <c r="J8" s="57" t="str">
        <v>Nikolas</v>
      </c>
      <c r="K8" s="57">
        <v>30</v>
      </c>
      <c r="L8" s="58">
        <f t="shared" si="0"/>
        <v>0.5</v>
      </c>
    </row>
    <row r="9" spans="6:12" ht="15" customHeight="1" x14ac:dyDescent="0.45">
      <c r="F9" s="23">
        <v>8</v>
      </c>
      <c r="G9" s="57" t="str" cm="1">
        <f t="array" ref="G9:K9">IFERROR(VLOOKUP(GERENCIAMENTO!$D$23&amp;ROW(A8),'ATIVIDADES E APONTAMENTOS'!$A:$F,{2,3,4,5,6},0),"Não Executar")</f>
        <v>1 - RETIRADA DE PEÇAS DO VEÍCULO/BALCÃO</v>
      </c>
      <c r="H9" s="57" t="str">
        <v>DESMONTAGEM</v>
      </c>
      <c r="I9" s="57" t="str">
        <v xml:space="preserve">Retirada do teto + acessórios  e colunas. </v>
      </c>
      <c r="J9" s="57" t="str">
        <v>Nikolas</v>
      </c>
      <c r="K9" s="57">
        <v>60</v>
      </c>
      <c r="L9" s="58">
        <f t="shared" si="0"/>
        <v>1</v>
      </c>
    </row>
    <row r="10" spans="6:12" ht="15" customHeight="1" x14ac:dyDescent="0.45">
      <c r="F10" s="23">
        <v>9</v>
      </c>
      <c r="G10" s="57" t="str" cm="1">
        <f t="array" ref="G10:K10">IFERROR(VLOOKUP(GERENCIAMENTO!$D$23&amp;ROW(A9),'ATIVIDADES E APONTAMENTOS'!$A:$F,{2,3,4,5,6},0),"Não Executar")</f>
        <v>1 - RETIRADA DE PEÇAS DO VEÍCULO/BALCÃO</v>
      </c>
      <c r="H10" s="57">
        <v>0</v>
      </c>
      <c r="I10" s="57">
        <v>0</v>
      </c>
      <c r="J10" s="57" t="str">
        <v>Não Executar</v>
      </c>
      <c r="K10" s="57">
        <v>0</v>
      </c>
      <c r="L10" s="58">
        <f t="shared" si="0"/>
        <v>0</v>
      </c>
    </row>
    <row r="11" spans="6:12" ht="15" customHeight="1" x14ac:dyDescent="0.45">
      <c r="F11" s="23">
        <v>10</v>
      </c>
      <c r="G11" s="57" t="str" cm="1">
        <f t="array" ref="G11:K11">IFERROR(VLOOKUP(GERENCIAMENTO!$D$23&amp;ROW(A10),'ATIVIDADES E APONTAMENTOS'!$A:$F,{2,3,4,5,6},0),"Não Executar")</f>
        <v>1 - RETIRADA DE PEÇAS DO VEÍCULO/BALCÃO</v>
      </c>
      <c r="H11" s="57">
        <v>0</v>
      </c>
      <c r="I11" s="57">
        <v>0</v>
      </c>
      <c r="J11" s="57" t="str">
        <v>Não Executar</v>
      </c>
      <c r="K11" s="57">
        <v>0</v>
      </c>
      <c r="L11" s="58">
        <f t="shared" si="0"/>
        <v>0</v>
      </c>
    </row>
    <row r="12" spans="6:12" ht="15" customHeight="1" x14ac:dyDescent="0.45">
      <c r="F12" s="23">
        <v>11</v>
      </c>
      <c r="G12" s="57" t="str" cm="1">
        <f t="array" ref="G12:K12">IFERROR(VLOOKUP(GERENCIAMENTO!$D$23&amp;ROW(A11),'ATIVIDADES E APONTAMENTOS'!$A:$F,{2,3,4,5,6},0),"Não Executar")</f>
        <v>1 - RETIRADA DE PEÇAS DO VEÍCULO/BALCÃO</v>
      </c>
      <c r="H12" s="57">
        <v>0</v>
      </c>
      <c r="I12" s="57">
        <v>0</v>
      </c>
      <c r="J12" s="57" t="str">
        <v>Não Executar</v>
      </c>
      <c r="K12" s="57">
        <v>0</v>
      </c>
      <c r="L12" s="58">
        <f t="shared" si="0"/>
        <v>0</v>
      </c>
    </row>
    <row r="13" spans="6:12" ht="15" customHeight="1" x14ac:dyDescent="0.45">
      <c r="F13" s="23">
        <v>12</v>
      </c>
      <c r="G13" s="57" t="str" cm="1">
        <f t="array" ref="G13:K13">IFERROR(VLOOKUP(GERENCIAMENTO!$D$23&amp;ROW(A12),'ATIVIDADES E APONTAMENTOS'!$A:$F,{2,3,4,5,6},0),"Não Executar")</f>
        <v>1 - RETIRADA DE PEÇAS DO VEÍCULO/BALCÃO</v>
      </c>
      <c r="H13" s="57">
        <v>0</v>
      </c>
      <c r="I13" s="57">
        <v>0</v>
      </c>
      <c r="J13" s="57" t="str">
        <v>Não Executar</v>
      </c>
      <c r="K13" s="57">
        <v>0</v>
      </c>
      <c r="L13" s="58">
        <f t="shared" si="0"/>
        <v>0</v>
      </c>
    </row>
    <row r="14" spans="6:12" ht="15" customHeight="1" x14ac:dyDescent="0.45">
      <c r="F14" s="23">
        <v>13</v>
      </c>
      <c r="G14" s="57" t="str" cm="1">
        <f t="array" ref="G14:K14">IFERROR(VLOOKUP(GERENCIAMENTO!$D$23&amp;ROW(A13),'ATIVIDADES E APONTAMENTOS'!$A:$F,{2,3,4,5,6},0),"Não Executar")</f>
        <v>1 - RETIRADA DE PEÇAS DO VEÍCULO/BALCÃO</v>
      </c>
      <c r="H14" s="57">
        <v>0</v>
      </c>
      <c r="I14" s="57">
        <v>0</v>
      </c>
      <c r="J14" s="57" t="str">
        <v>Não Executar</v>
      </c>
      <c r="K14" s="57">
        <v>0</v>
      </c>
      <c r="L14" s="58">
        <f t="shared" si="0"/>
        <v>0</v>
      </c>
    </row>
    <row r="15" spans="6:12" ht="15" customHeight="1" x14ac:dyDescent="0.45">
      <c r="F15" s="23">
        <v>14</v>
      </c>
      <c r="G15" s="57" t="str" cm="1">
        <f t="array" ref="G15:K15">IFERROR(VLOOKUP(GERENCIAMENTO!$D$23&amp;ROW(A14),'ATIVIDADES E APONTAMENTOS'!$A:$F,{2,3,4,5,6},0),"Não Executar")</f>
        <v>1 - RETIRADA DE PEÇAS DO VEÍCULO/BALCÃO</v>
      </c>
      <c r="H15" s="57">
        <v>0</v>
      </c>
      <c r="I15" s="57">
        <v>0</v>
      </c>
      <c r="J15" s="57" t="str">
        <v>Não Executar</v>
      </c>
      <c r="K15" s="57">
        <v>0</v>
      </c>
      <c r="L15" s="58">
        <f t="shared" si="0"/>
        <v>0</v>
      </c>
    </row>
    <row r="16" spans="6:12" ht="15" customHeight="1" x14ac:dyDescent="0.45">
      <c r="F16" s="23">
        <v>15</v>
      </c>
      <c r="G16" s="57" t="str" cm="1">
        <f t="array" ref="G16">IFERROR(VLOOKUP(GERENCIAMENTO!$D$23&amp;ROW(A15),'ATIVIDADES E APONTAMENTOS'!$A:$F,{2,3,4,5,6},0),"Não Executar")</f>
        <v>Não Executar</v>
      </c>
      <c r="L16" s="58">
        <f t="shared" si="0"/>
        <v>0</v>
      </c>
    </row>
    <row r="17" spans="5:12" ht="15" customHeight="1" x14ac:dyDescent="0.45">
      <c r="F17" s="23">
        <v>16</v>
      </c>
      <c r="G17" s="57" t="str" cm="1">
        <f t="array" ref="G17">IFERROR(VLOOKUP(GERENCIAMENTO!$D$23&amp;ROW(A16),'ATIVIDADES E APONTAMENTOS'!$A:$F,{2,3,4,5,6},0),"Não Executar")</f>
        <v>Não Executar</v>
      </c>
      <c r="L17" s="58">
        <f t="shared" si="0"/>
        <v>0</v>
      </c>
    </row>
    <row r="18" spans="5:12" ht="15" customHeight="1" x14ac:dyDescent="0.45">
      <c r="F18" s="23">
        <v>17</v>
      </c>
      <c r="G18" s="57" t="str" cm="1">
        <f t="array" ref="G18">IFERROR(VLOOKUP(GERENCIAMENTO!$D$23&amp;ROW(A17),'ATIVIDADES E APONTAMENTOS'!$A:$F,{2,3,4,5,6},0),"Não Executar")</f>
        <v>Não Executar</v>
      </c>
      <c r="L18" s="58">
        <f t="shared" si="0"/>
        <v>0</v>
      </c>
    </row>
    <row r="19" spans="5:12" ht="15" customHeight="1" x14ac:dyDescent="0.45">
      <c r="F19" s="23">
        <v>18</v>
      </c>
      <c r="G19" s="57" t="str" cm="1">
        <f t="array" ref="G19">IFERROR(VLOOKUP(GERENCIAMENTO!$D$23&amp;ROW(A18),'ATIVIDADES E APONTAMENTOS'!$A:$F,{2,3,4,5,6},0),"Não Executar")</f>
        <v>Não Executar</v>
      </c>
      <c r="L19" s="58">
        <f t="shared" si="0"/>
        <v>0</v>
      </c>
    </row>
    <row r="20" spans="5:12" ht="15" customHeight="1" x14ac:dyDescent="0.45">
      <c r="F20" s="23">
        <v>19</v>
      </c>
      <c r="G20" s="57" t="str" cm="1">
        <f t="array" ref="G20">IFERROR(VLOOKUP(GERENCIAMENTO!$D$23&amp;ROW(A19),'ATIVIDADES E APONTAMENTOS'!$A:$F,{2,3,4,5,6},0),"Não Executar")</f>
        <v>Não Executar</v>
      </c>
      <c r="L20" s="58">
        <f t="shared" si="0"/>
        <v>0</v>
      </c>
    </row>
    <row r="21" spans="5:12" ht="15" customHeight="1" x14ac:dyDescent="0.45">
      <c r="F21" s="23">
        <v>20</v>
      </c>
      <c r="G21" s="57" t="str" cm="1">
        <f t="array" ref="G21">IFERROR(VLOOKUP(GERENCIAMENTO!$D$23&amp;ROW(A20),'ATIVIDADES E APONTAMENTOS'!$A:$F,{2,3,4,5,6},0),"Não Executar")</f>
        <v>Não Executar</v>
      </c>
      <c r="L21" s="58">
        <f t="shared" si="0"/>
        <v>0</v>
      </c>
    </row>
    <row r="22" spans="5:12" ht="15" customHeight="1" x14ac:dyDescent="0.45">
      <c r="F22" s="23">
        <v>21</v>
      </c>
      <c r="G22" s="57" t="str" cm="1">
        <f t="array" ref="G22">IFERROR(VLOOKUP(GERENCIAMENTO!$D$23&amp;ROW(A21),'ATIVIDADES E APONTAMENTOS'!$A:$F,{2,3,4,5,6},0),"Não Executar")</f>
        <v>Não Executar</v>
      </c>
      <c r="L22" s="58">
        <f t="shared" si="0"/>
        <v>0</v>
      </c>
    </row>
    <row r="23" spans="5:12" ht="15" customHeight="1" x14ac:dyDescent="0.45">
      <c r="F23" s="23">
        <v>22</v>
      </c>
      <c r="G23" s="57" t="str" cm="1">
        <f t="array" ref="G23">IFERROR(VLOOKUP(GERENCIAMENTO!$D$23&amp;ROW(A22),'ATIVIDADES E APONTAMENTOS'!$A:$F,{2,3,4,5,6},0),"Não Executar")</f>
        <v>Não Executar</v>
      </c>
      <c r="L23" s="58">
        <f t="shared" si="0"/>
        <v>0</v>
      </c>
    </row>
    <row r="24" spans="5:12" ht="15" customHeight="1" x14ac:dyDescent="0.45">
      <c r="F24" s="23">
        <v>23</v>
      </c>
      <c r="G24" s="57" t="str" cm="1">
        <f t="array" ref="G24">IFERROR(VLOOKUP(GERENCIAMENTO!$D$23&amp;ROW(A23),'ATIVIDADES E APONTAMENTOS'!$A:$F,{2,3,4,5,6},0),"Não Executar")</f>
        <v>Não Executar</v>
      </c>
      <c r="L24" s="58">
        <f t="shared" si="0"/>
        <v>0</v>
      </c>
    </row>
    <row r="25" spans="5:12" ht="15" customHeight="1" x14ac:dyDescent="0.45">
      <c r="F25" s="23">
        <v>24</v>
      </c>
      <c r="G25" s="57" t="str" cm="1">
        <f t="array" ref="G25">IFERROR(VLOOKUP(GERENCIAMENTO!$D$23&amp;ROW(A24),'ATIVIDADES E APONTAMENTOS'!$A:$F,{2,3,4,5,6},0),"Não Executar")</f>
        <v>Não Executar</v>
      </c>
      <c r="L25" s="58">
        <f t="shared" si="0"/>
        <v>0</v>
      </c>
    </row>
    <row r="26" spans="5:12" ht="15" customHeight="1" x14ac:dyDescent="0.45">
      <c r="F26" s="23">
        <v>25</v>
      </c>
      <c r="G26" s="57" t="str" cm="1">
        <f t="array" ref="G26">IFERROR(VLOOKUP(GERENCIAMENTO!$D$23&amp;ROW(A25),'ATIVIDADES E APONTAMENTOS'!$A:$F,{2,3,4,5,6},0),"Não Executar")</f>
        <v>Não Executar</v>
      </c>
      <c r="L26" s="58">
        <f t="shared" si="0"/>
        <v>0</v>
      </c>
    </row>
    <row r="27" spans="5:12" ht="15" customHeight="1" x14ac:dyDescent="0.45">
      <c r="F27" s="59">
        <v>1</v>
      </c>
      <c r="G27" s="57" t="str" cm="1">
        <f t="array" ref="G27:K27">IFERROR(VLOOKUP(GERENCIAMENTO!$D$24&amp;ROW(A1),'ATIVIDADES E APONTAMENTOS'!$A:$F,{2,3,4,5,6},0),"Não Executar")</f>
        <v>2 - LIMPEZA INICIAL</v>
      </c>
      <c r="H27" s="57" t="str">
        <v>PREPARAÇÃO</v>
      </c>
      <c r="I27" s="57" t="str">
        <v xml:space="preserve">Aspiração detalhada </v>
      </c>
      <c r="J27" s="57" t="str">
        <v>Lohan</v>
      </c>
      <c r="K27" s="57">
        <v>25</v>
      </c>
      <c r="L27" s="58">
        <f t="shared" si="0"/>
        <v>0.41666666666666669</v>
      </c>
    </row>
    <row r="28" spans="5:12" ht="15" customHeight="1" x14ac:dyDescent="0.45">
      <c r="E28" s="57"/>
      <c r="F28" s="59">
        <v>2</v>
      </c>
      <c r="G28" s="57" t="str" cm="1">
        <f t="array" ref="G28:K28">IFERROR(VLOOKUP(GERENCIAMENTO!$D$24&amp;ROW(A2),'ATIVIDADES E APONTAMENTOS'!$A:$F,{2,3,4,5,6},0),"Não Executar")</f>
        <v>2 - LIMPEZA INICIAL</v>
      </c>
      <c r="H28" s="57">
        <v>0</v>
      </c>
      <c r="I28" s="57">
        <v>0</v>
      </c>
      <c r="J28" s="57" t="str">
        <v>Não Executar</v>
      </c>
      <c r="K28" s="57">
        <v>0</v>
      </c>
      <c r="L28" s="58">
        <f t="shared" si="0"/>
        <v>0</v>
      </c>
    </row>
    <row r="29" spans="5:12" ht="15" customHeight="1" x14ac:dyDescent="0.45">
      <c r="E29" s="57"/>
      <c r="F29" s="59">
        <v>3</v>
      </c>
      <c r="G29" s="57" t="str" cm="1">
        <f t="array" ref="G29:K29">IFERROR(VLOOKUP(GERENCIAMENTO!$D$24&amp;ROW(A3),'ATIVIDADES E APONTAMENTOS'!$A:$F,{2,3,4,5,6},0),"Não Executar")</f>
        <v>2 - LIMPEZA INICIAL</v>
      </c>
      <c r="H29" s="57">
        <v>0</v>
      </c>
      <c r="I29" s="57">
        <v>0</v>
      </c>
      <c r="J29" s="57" t="str">
        <v>Não Executar</v>
      </c>
      <c r="K29" s="57">
        <v>0</v>
      </c>
      <c r="L29" s="58">
        <f t="shared" si="0"/>
        <v>0</v>
      </c>
    </row>
    <row r="30" spans="5:12" ht="15" customHeight="1" x14ac:dyDescent="0.45">
      <c r="E30" s="57"/>
      <c r="F30" s="59">
        <v>4</v>
      </c>
      <c r="G30" s="57" t="str" cm="1">
        <f t="array" ref="G30:K30">IFERROR(VLOOKUP(GERENCIAMENTO!$D$24&amp;ROW(A4),'ATIVIDADES E APONTAMENTOS'!$A:$F,{2,3,4,5,6},0),"Não Executar")</f>
        <v>2 - LIMPEZA INICIAL</v>
      </c>
      <c r="H30" s="57">
        <v>0</v>
      </c>
      <c r="I30" s="57">
        <v>0</v>
      </c>
      <c r="J30" s="57" t="str">
        <v>Não Executar</v>
      </c>
      <c r="K30" s="57">
        <v>0</v>
      </c>
      <c r="L30" s="58">
        <f t="shared" si="0"/>
        <v>0</v>
      </c>
    </row>
    <row r="31" spans="5:12" ht="15" customHeight="1" x14ac:dyDescent="0.45">
      <c r="E31" s="57"/>
      <c r="F31" s="59">
        <v>5</v>
      </c>
      <c r="G31" s="57" t="str" cm="1">
        <f t="array" ref="G31:K31">IFERROR(VLOOKUP(GERENCIAMENTO!$D$24&amp;ROW(A5),'ATIVIDADES E APONTAMENTOS'!$A:$F,{2,3,4,5,6},0),"Não Executar")</f>
        <v>2 - LIMPEZA INICIAL</v>
      </c>
      <c r="H31" s="57">
        <v>0</v>
      </c>
      <c r="I31" s="57">
        <v>0</v>
      </c>
      <c r="J31" s="57" t="str">
        <v>Não Executar</v>
      </c>
      <c r="K31" s="57">
        <v>0</v>
      </c>
      <c r="L31" s="58">
        <f t="shared" si="0"/>
        <v>0</v>
      </c>
    </row>
    <row r="32" spans="5:12" ht="15" customHeight="1" x14ac:dyDescent="0.45">
      <c r="E32" s="57"/>
      <c r="F32" s="59">
        <v>6</v>
      </c>
      <c r="G32" s="57" t="str" cm="1">
        <f t="array" ref="G32:K32">IFERROR(VLOOKUP(GERENCIAMENTO!$D$24&amp;ROW(A6),'ATIVIDADES E APONTAMENTOS'!$A:$F,{2,3,4,5,6},0),"Não Executar")</f>
        <v>2 - LIMPEZA INICIAL</v>
      </c>
      <c r="H32" s="57">
        <v>0</v>
      </c>
      <c r="I32" s="57">
        <v>0</v>
      </c>
      <c r="J32" s="57" t="str">
        <v>Não Executar</v>
      </c>
      <c r="K32" s="57">
        <v>0</v>
      </c>
      <c r="L32" s="58">
        <f t="shared" si="0"/>
        <v>0</v>
      </c>
    </row>
    <row r="33" spans="5:12" ht="15" customHeight="1" x14ac:dyDescent="0.45">
      <c r="E33" s="57"/>
      <c r="F33" s="59">
        <v>7</v>
      </c>
      <c r="G33" s="57" t="str" cm="1">
        <f t="array" ref="G33:K33">IFERROR(VLOOKUP(GERENCIAMENTO!$D$24&amp;ROW(A7),'ATIVIDADES E APONTAMENTOS'!$A:$F,{2,3,4,5,6},0),"Não Executar")</f>
        <v>2 - LIMPEZA INICIAL</v>
      </c>
      <c r="H33" s="57">
        <v>0</v>
      </c>
      <c r="I33" s="57">
        <v>0</v>
      </c>
      <c r="J33" s="57" t="str">
        <v>Não Executar</v>
      </c>
      <c r="K33" s="57">
        <v>0</v>
      </c>
      <c r="L33" s="58">
        <f t="shared" si="0"/>
        <v>0</v>
      </c>
    </row>
    <row r="34" spans="5:12" ht="15" customHeight="1" x14ac:dyDescent="0.45">
      <c r="E34" s="57"/>
      <c r="F34" s="59">
        <v>8</v>
      </c>
      <c r="G34" s="57" t="str" cm="1">
        <f t="array" ref="G34:K34">IFERROR(VLOOKUP(GERENCIAMENTO!$D$24&amp;ROW(A8),'ATIVIDADES E APONTAMENTOS'!$A:$F,{2,3,4,5,6},0),"Não Executar")</f>
        <v>2 - LIMPEZA INICIAL</v>
      </c>
      <c r="H34" s="57">
        <v>0</v>
      </c>
      <c r="I34" s="57">
        <v>0</v>
      </c>
      <c r="J34" s="57" t="str">
        <v>Não Executar</v>
      </c>
      <c r="K34" s="57">
        <v>0</v>
      </c>
      <c r="L34" s="58">
        <f t="shared" si="0"/>
        <v>0</v>
      </c>
    </row>
    <row r="35" spans="5:12" ht="15" customHeight="1" x14ac:dyDescent="0.45">
      <c r="E35" s="57"/>
      <c r="F35" s="59">
        <v>9</v>
      </c>
      <c r="G35" s="57" t="str" cm="1">
        <f t="array" ref="G35">IFERROR(VLOOKUP(GERENCIAMENTO!$D$24&amp;ROW(A9),'ATIVIDADES E APONTAMENTOS'!$A:$F,{2,3,4,5,6},0),"Não Executar")</f>
        <v>Não Executar</v>
      </c>
      <c r="L35" s="58">
        <f t="shared" si="0"/>
        <v>0</v>
      </c>
    </row>
    <row r="36" spans="5:12" ht="15" customHeight="1" x14ac:dyDescent="0.45">
      <c r="E36" s="57"/>
      <c r="F36" s="59">
        <v>10</v>
      </c>
      <c r="G36" s="57" t="str" cm="1">
        <f t="array" ref="G36">IFERROR(VLOOKUP(GERENCIAMENTO!$D$24&amp;ROW(A10),'ATIVIDADES E APONTAMENTOS'!$A:$F,{2,3,4,5,6},0),"Não Executar")</f>
        <v>Não Executar</v>
      </c>
      <c r="L36" s="58">
        <f t="shared" si="0"/>
        <v>0</v>
      </c>
    </row>
    <row r="37" spans="5:12" ht="15" customHeight="1" x14ac:dyDescent="0.45">
      <c r="E37" s="57"/>
      <c r="F37" s="59">
        <v>11</v>
      </c>
      <c r="G37" s="57" t="str" cm="1">
        <f t="array" ref="G37">IFERROR(VLOOKUP(GERENCIAMENTO!$D$24&amp;ROW(A11),'ATIVIDADES E APONTAMENTOS'!$A:$F,{2,3,4,5,6},0),"Não Executar")</f>
        <v>Não Executar</v>
      </c>
      <c r="L37" s="58">
        <f t="shared" si="0"/>
        <v>0</v>
      </c>
    </row>
    <row r="38" spans="5:12" ht="15" customHeight="1" x14ac:dyDescent="0.45">
      <c r="E38" s="57"/>
      <c r="F38" s="59">
        <v>12</v>
      </c>
      <c r="G38" s="57" t="str" cm="1">
        <f t="array" ref="G38">IFERROR(VLOOKUP(GERENCIAMENTO!$D$24&amp;ROW(A12),'ATIVIDADES E APONTAMENTOS'!$A:$F,{2,3,4,5,6},0),"Não Executar")</f>
        <v>Não Executar</v>
      </c>
      <c r="L38" s="58">
        <f t="shared" si="0"/>
        <v>0</v>
      </c>
    </row>
    <row r="39" spans="5:12" ht="15" customHeight="1" x14ac:dyDescent="0.45">
      <c r="E39" s="57"/>
      <c r="F39" s="59">
        <v>13</v>
      </c>
      <c r="G39" s="57" t="str" cm="1">
        <f t="array" ref="G39">IFERROR(VLOOKUP(GERENCIAMENTO!$D$24&amp;ROW(A13),'ATIVIDADES E APONTAMENTOS'!$A:$F,{2,3,4,5,6},0),"Não Executar")</f>
        <v>Não Executar</v>
      </c>
      <c r="L39" s="58">
        <f t="shared" si="0"/>
        <v>0</v>
      </c>
    </row>
    <row r="40" spans="5:12" ht="15" customHeight="1" x14ac:dyDescent="0.45">
      <c r="E40" s="57"/>
      <c r="F40" s="59">
        <v>14</v>
      </c>
      <c r="G40" s="57" t="str" cm="1">
        <f t="array" ref="G40">IFERROR(VLOOKUP(GERENCIAMENTO!$D$24&amp;ROW(A14),'ATIVIDADES E APONTAMENTOS'!$A:$F,{2,3,4,5,6},0),"Não Executar")</f>
        <v>Não Executar</v>
      </c>
      <c r="L40" s="58">
        <f t="shared" si="0"/>
        <v>0</v>
      </c>
    </row>
    <row r="41" spans="5:12" ht="15" customHeight="1" x14ac:dyDescent="0.45">
      <c r="E41" s="57"/>
      <c r="F41" s="59">
        <v>15</v>
      </c>
      <c r="G41" s="57" t="str" cm="1">
        <f t="array" ref="G41">IFERROR(VLOOKUP(GERENCIAMENTO!$D$24&amp;ROW(A15),'ATIVIDADES E APONTAMENTOS'!$A:$F,{2,3,4,5,6},0),"Não Executar")</f>
        <v>Não Executar</v>
      </c>
      <c r="L41" s="58">
        <f t="shared" si="0"/>
        <v>0</v>
      </c>
    </row>
    <row r="42" spans="5:12" ht="15" customHeight="1" x14ac:dyDescent="0.45">
      <c r="E42" s="57"/>
      <c r="F42" s="59">
        <v>16</v>
      </c>
      <c r="G42" s="57" t="str" cm="1">
        <f t="array" ref="G42">IFERROR(VLOOKUP(GERENCIAMENTO!$D$24&amp;ROW(A16),'ATIVIDADES E APONTAMENTOS'!$A:$F,{2,3,4,5,6},0),"Não Executar")</f>
        <v>Não Executar</v>
      </c>
      <c r="L42" s="58">
        <f t="shared" si="0"/>
        <v>0</v>
      </c>
    </row>
    <row r="43" spans="5:12" ht="15" customHeight="1" x14ac:dyDescent="0.45">
      <c r="F43" s="59">
        <v>17</v>
      </c>
      <c r="G43" s="57" t="str" cm="1">
        <f t="array" ref="G43">IFERROR(VLOOKUP(GERENCIAMENTO!$D$24&amp;ROW(A17),'ATIVIDADES E APONTAMENTOS'!$A:$F,{2,3,4,5,6},0),"Não Executar")</f>
        <v>Não Executar</v>
      </c>
      <c r="L43" s="58">
        <f t="shared" si="0"/>
        <v>0</v>
      </c>
    </row>
    <row r="44" spans="5:12" ht="15" customHeight="1" x14ac:dyDescent="0.45">
      <c r="F44" s="59">
        <v>18</v>
      </c>
      <c r="G44" s="57" t="str" cm="1">
        <f t="array" ref="G44">IFERROR(VLOOKUP(GERENCIAMENTO!$D$24&amp;ROW(A18),'ATIVIDADES E APONTAMENTOS'!$A:$F,{2,3,4,5,6},0),"Não Executar")</f>
        <v>Não Executar</v>
      </c>
      <c r="L44" s="58">
        <f t="shared" si="0"/>
        <v>0</v>
      </c>
    </row>
    <row r="45" spans="5:12" ht="15" customHeight="1" x14ac:dyDescent="0.45">
      <c r="F45" s="59">
        <v>19</v>
      </c>
      <c r="G45" s="57" t="str" cm="1">
        <f t="array" ref="G45">IFERROR(VLOOKUP(GERENCIAMENTO!$D$24&amp;ROW(A19),'ATIVIDADES E APONTAMENTOS'!$A:$F,{2,3,4,5,6},0),"Não Executar")</f>
        <v>Não Executar</v>
      </c>
      <c r="L45" s="58">
        <f t="shared" si="0"/>
        <v>0</v>
      </c>
    </row>
    <row r="46" spans="5:12" ht="15" customHeight="1" x14ac:dyDescent="0.45">
      <c r="F46" s="59">
        <v>20</v>
      </c>
      <c r="G46" s="57" t="str" cm="1">
        <f t="array" ref="G46">IFERROR(VLOOKUP(GERENCIAMENTO!$D$24&amp;ROW(A20),'ATIVIDADES E APONTAMENTOS'!$A:$F,{2,3,4,5,6},0),"Não Executar")</f>
        <v>Não Executar</v>
      </c>
      <c r="L46" s="58">
        <f t="shared" si="0"/>
        <v>0</v>
      </c>
    </row>
    <row r="47" spans="5:12" ht="15" customHeight="1" x14ac:dyDescent="0.45">
      <c r="F47" s="59">
        <v>21</v>
      </c>
      <c r="G47" s="57" t="str" cm="1">
        <f t="array" ref="G47">IFERROR(VLOOKUP(GERENCIAMENTO!$D$24&amp;ROW(A21),'ATIVIDADES E APONTAMENTOS'!$A:$F,{2,3,4,5,6},0),"Não Executar")</f>
        <v>Não Executar</v>
      </c>
      <c r="L47" s="58">
        <f t="shared" si="0"/>
        <v>0</v>
      </c>
    </row>
    <row r="48" spans="5:12" ht="15" customHeight="1" x14ac:dyDescent="0.45">
      <c r="F48" s="59">
        <v>22</v>
      </c>
      <c r="G48" s="57" t="str" cm="1">
        <f t="array" ref="G48">IFERROR(VLOOKUP(GERENCIAMENTO!$D$24&amp;ROW(A22),'ATIVIDADES E APONTAMENTOS'!$A:$F,{2,3,4,5,6},0),"Não Executar")</f>
        <v>Não Executar</v>
      </c>
      <c r="L48" s="58">
        <f t="shared" si="0"/>
        <v>0</v>
      </c>
    </row>
    <row r="49" spans="6:12" ht="15" customHeight="1" x14ac:dyDescent="0.45">
      <c r="F49" s="59">
        <v>23</v>
      </c>
      <c r="G49" s="57" t="str" cm="1">
        <f t="array" ref="G49">IFERROR(VLOOKUP(GERENCIAMENTO!$D$24&amp;ROW(A23),'ATIVIDADES E APONTAMENTOS'!$A:$F,{2,3,4,5,6},0),"Não Executar")</f>
        <v>Não Executar</v>
      </c>
      <c r="L49" s="58">
        <f t="shared" si="0"/>
        <v>0</v>
      </c>
    </row>
    <row r="50" spans="6:12" ht="15" customHeight="1" x14ac:dyDescent="0.45">
      <c r="F50" s="59">
        <v>24</v>
      </c>
      <c r="G50" s="57" t="str" cm="1">
        <f t="array" ref="G50">IFERROR(VLOOKUP(GERENCIAMENTO!$D$24&amp;ROW(A24),'ATIVIDADES E APONTAMENTOS'!$A:$F,{2,3,4,5,6},0),"Não Executar")</f>
        <v>Não Executar</v>
      </c>
      <c r="L50" s="58">
        <f t="shared" si="0"/>
        <v>0</v>
      </c>
    </row>
    <row r="51" spans="6:12" ht="15" customHeight="1" x14ac:dyDescent="0.45">
      <c r="F51" s="59">
        <v>25</v>
      </c>
      <c r="G51" s="57" t="str" cm="1">
        <f t="array" ref="G51">IFERROR(VLOOKUP(GERENCIAMENTO!$D$24&amp;ROW(A25),'ATIVIDADES E APONTAMENTOS'!$A:$F,{2,3,4,5,6},0),"Não Executar")</f>
        <v>Não Executar</v>
      </c>
      <c r="L51" s="58">
        <f t="shared" si="0"/>
        <v>0</v>
      </c>
    </row>
    <row r="52" spans="6:12" ht="15" customHeight="1" x14ac:dyDescent="0.45">
      <c r="F52" s="23">
        <v>1</v>
      </c>
      <c r="G52" s="57" t="str" cm="1">
        <f t="array" ref="G52:K52">IFERROR(VLOOKUP(GERENCIAMENTO!$D$25&amp;ROW(A1),'ATIVIDADES E APONTAMENTOS'!$A:$F,{2,3,4,5,6},0),"Não Executar")</f>
        <v>3 - ISOLANTE OU FELTRO</v>
      </c>
      <c r="H52" s="57" t="str">
        <v>CORTE</v>
      </c>
      <c r="I52" s="57" t="str">
        <v xml:space="preserve">Cortar Feltro seguindo molde assoalho </v>
      </c>
      <c r="J52" s="57" t="str">
        <v>Rita</v>
      </c>
      <c r="K52" s="57">
        <v>45</v>
      </c>
      <c r="L52" s="58">
        <f t="shared" si="0"/>
        <v>0.75</v>
      </c>
    </row>
    <row r="53" spans="6:12" ht="15" customHeight="1" x14ac:dyDescent="0.45">
      <c r="F53" s="23">
        <v>2</v>
      </c>
      <c r="G53" s="57" t="str" cm="1">
        <f t="array" ref="G53:K53">IFERROR(VLOOKUP(GERENCIAMENTO!$D$25&amp;ROW(A2),'ATIVIDADES E APONTAMENTOS'!$A:$F,{2,3,4,5,6},0),"Não Executar")</f>
        <v>3 - ISOLANTE OU FELTRO</v>
      </c>
      <c r="H53" s="57" t="str">
        <v>APLICAÇÃO COLA</v>
      </c>
      <c r="I53" s="57" t="str">
        <v>Aplicar cola  no feltro</v>
      </c>
      <c r="J53" s="57" t="str">
        <v>Lohan</v>
      </c>
      <c r="K53" s="57">
        <v>20</v>
      </c>
      <c r="L53" s="58">
        <f t="shared" si="0"/>
        <v>0.33333333333333331</v>
      </c>
    </row>
    <row r="54" spans="6:12" ht="15" customHeight="1" x14ac:dyDescent="0.45">
      <c r="F54" s="23">
        <v>3</v>
      </c>
      <c r="G54" s="57" t="str" cm="1">
        <f t="array" ref="G54:K54">IFERROR(VLOOKUP(GERENCIAMENTO!$D$25&amp;ROW(A3),'ATIVIDADES E APONTAMENTOS'!$A:$F,{2,3,4,5,6},0),"Não Executar")</f>
        <v>3 - ISOLANTE OU FELTRO</v>
      </c>
      <c r="H54" s="57" t="str">
        <v>PREPARAÇÃO</v>
      </c>
      <c r="I54" s="57" t="str">
        <v>Colagem do feltro no assoalho</v>
      </c>
      <c r="J54" s="57" t="str">
        <v>Lohan</v>
      </c>
      <c r="K54" s="57">
        <v>40</v>
      </c>
      <c r="L54" s="58">
        <f t="shared" si="0"/>
        <v>0.66666666666666663</v>
      </c>
    </row>
    <row r="55" spans="6:12" ht="15" customHeight="1" x14ac:dyDescent="0.45">
      <c r="F55" s="23">
        <v>4</v>
      </c>
      <c r="G55" s="57" t="str" cm="1">
        <f t="array" ref="G55:K55">IFERROR(VLOOKUP(GERENCIAMENTO!$D$25&amp;ROW(A4),'ATIVIDADES E APONTAMENTOS'!$A:$F,{2,3,4,5,6},0),"Não Executar")</f>
        <v>3 - ISOLANTE OU FELTRO</v>
      </c>
      <c r="H55" s="57" t="str">
        <v>PREPARAÇÃO</v>
      </c>
      <c r="I55" s="57" t="str">
        <v>Aplicar feltro no teto</v>
      </c>
      <c r="J55" s="57" t="str">
        <v>Lohan</v>
      </c>
      <c r="K55" s="57">
        <v>60</v>
      </c>
      <c r="L55" s="58">
        <f t="shared" si="0"/>
        <v>1</v>
      </c>
    </row>
    <row r="56" spans="6:12" ht="15" customHeight="1" x14ac:dyDescent="0.45">
      <c r="F56" s="23">
        <v>5</v>
      </c>
      <c r="G56" s="57" t="str" cm="1">
        <f t="array" ref="G56:K56">IFERROR(VLOOKUP(GERENCIAMENTO!$D$25&amp;ROW(A5),'ATIVIDADES E APONTAMENTOS'!$A:$F,{2,3,4,5,6},0),"Não Executar")</f>
        <v>3 - ISOLANTE OU FELTRO</v>
      </c>
      <c r="H56" s="57" t="str">
        <v>PREPARAÇÃO</v>
      </c>
      <c r="I56" s="57" t="str">
        <v>Aplicar isolante no assoalho</v>
      </c>
      <c r="J56" s="57" t="str">
        <v>Lohan</v>
      </c>
      <c r="K56" s="57">
        <v>90</v>
      </c>
      <c r="L56" s="58">
        <f t="shared" si="0"/>
        <v>1.5</v>
      </c>
    </row>
    <row r="57" spans="6:12" ht="15" customHeight="1" x14ac:dyDescent="0.45">
      <c r="F57" s="23">
        <v>6</v>
      </c>
      <c r="G57" s="57" t="str" cm="1">
        <f t="array" ref="G57:K57">IFERROR(VLOOKUP(GERENCIAMENTO!$D$25&amp;ROW(A6),'ATIVIDADES E APONTAMENTOS'!$A:$F,{2,3,4,5,6},0),"Não Executar")</f>
        <v>3 - ISOLANTE OU FELTRO</v>
      </c>
      <c r="H57" s="57" t="str">
        <v>PREPARAÇÃO</v>
      </c>
      <c r="I57" s="57" t="str">
        <v>Aplicar isolante no teto</v>
      </c>
      <c r="J57" s="57" t="str">
        <v>Lohan</v>
      </c>
      <c r="K57" s="57">
        <v>90</v>
      </c>
      <c r="L57" s="58">
        <f t="shared" si="0"/>
        <v>1.5</v>
      </c>
    </row>
    <row r="58" spans="6:12" ht="15" customHeight="1" x14ac:dyDescent="0.45">
      <c r="F58" s="23">
        <v>7</v>
      </c>
      <c r="G58" s="57" t="str" cm="1">
        <f t="array" ref="G58:K58">IFERROR(VLOOKUP(GERENCIAMENTO!$D$25&amp;ROW(A7),'ATIVIDADES E APONTAMENTOS'!$A:$F,{2,3,4,5,6},0),"Não Executar")</f>
        <v>3 - ISOLANTE OU FELTRO</v>
      </c>
      <c r="H58" s="57">
        <v>0</v>
      </c>
      <c r="I58" s="57">
        <v>0</v>
      </c>
      <c r="J58" s="57" t="str">
        <v>Não Executar</v>
      </c>
      <c r="K58" s="57">
        <v>0</v>
      </c>
      <c r="L58" s="58">
        <f t="shared" si="0"/>
        <v>0</v>
      </c>
    </row>
    <row r="59" spans="6:12" ht="15" customHeight="1" x14ac:dyDescent="0.45">
      <c r="F59" s="23">
        <v>8</v>
      </c>
      <c r="G59" s="57" t="str" cm="1">
        <f t="array" ref="G59:K59">IFERROR(VLOOKUP(GERENCIAMENTO!$D$25&amp;ROW(A8),'ATIVIDADES E APONTAMENTOS'!$A:$F,{2,3,4,5,6},0),"Não Executar")</f>
        <v>3 - ISOLANTE OU FELTRO</v>
      </c>
      <c r="H59" s="57">
        <v>0</v>
      </c>
      <c r="I59" s="57">
        <v>0</v>
      </c>
      <c r="J59" s="57" t="str">
        <v>Não Executar</v>
      </c>
      <c r="K59" s="57">
        <v>0</v>
      </c>
      <c r="L59" s="58">
        <f t="shared" si="0"/>
        <v>0</v>
      </c>
    </row>
    <row r="60" spans="6:12" ht="15" customHeight="1" x14ac:dyDescent="0.45">
      <c r="F60" s="23">
        <v>9</v>
      </c>
      <c r="G60" s="57" t="str" cm="1">
        <f t="array" ref="G60:K60">IFERROR(VLOOKUP(GERENCIAMENTO!$D$25&amp;ROW(A9),'ATIVIDADES E APONTAMENTOS'!$A:$F,{2,3,4,5,6},0),"Não Executar")</f>
        <v>3 - ISOLANTE OU FELTRO</v>
      </c>
      <c r="H60" s="57">
        <v>0</v>
      </c>
      <c r="I60" s="57">
        <v>0</v>
      </c>
      <c r="J60" s="57" t="str">
        <v>Não Executar</v>
      </c>
      <c r="K60" s="57">
        <v>0</v>
      </c>
      <c r="L60" s="58">
        <f t="shared" si="0"/>
        <v>0</v>
      </c>
    </row>
    <row r="61" spans="6:12" ht="15" customHeight="1" x14ac:dyDescent="0.45">
      <c r="F61" s="23">
        <v>10</v>
      </c>
      <c r="G61" s="57" t="str" cm="1">
        <f t="array" ref="G61:K61">IFERROR(VLOOKUP(GERENCIAMENTO!$D$25&amp;ROW(A10),'ATIVIDADES E APONTAMENTOS'!$A:$F,{2,3,4,5,6},0),"Não Executar")</f>
        <v>3 - ISOLANTE OU FELTRO</v>
      </c>
      <c r="H61" s="57">
        <v>0</v>
      </c>
      <c r="I61" s="57">
        <v>0</v>
      </c>
      <c r="J61" s="57" t="str">
        <v>Não Executar</v>
      </c>
      <c r="K61" s="57">
        <v>0</v>
      </c>
      <c r="L61" s="58">
        <f t="shared" si="0"/>
        <v>0</v>
      </c>
    </row>
    <row r="62" spans="6:12" ht="15" customHeight="1" x14ac:dyDescent="0.45">
      <c r="F62" s="23">
        <v>11</v>
      </c>
      <c r="G62" s="57" t="str" cm="1">
        <f t="array" ref="G62:K62">IFERROR(VLOOKUP(GERENCIAMENTO!$D$25&amp;ROW(A11),'ATIVIDADES E APONTAMENTOS'!$A:$F,{2,3,4,5,6},0),"Não Executar")</f>
        <v>3 - ISOLANTE OU FELTRO</v>
      </c>
      <c r="H62" s="57">
        <v>0</v>
      </c>
      <c r="I62" s="57">
        <v>0</v>
      </c>
      <c r="J62" s="57" t="str">
        <v>Não Executar</v>
      </c>
      <c r="K62" s="57">
        <v>0</v>
      </c>
      <c r="L62" s="58">
        <f t="shared" si="0"/>
        <v>0</v>
      </c>
    </row>
    <row r="63" spans="6:12" ht="15" customHeight="1" x14ac:dyDescent="0.45">
      <c r="F63" s="23">
        <v>12</v>
      </c>
      <c r="G63" s="57" t="str" cm="1">
        <f t="array" ref="G63:K63">IFERROR(VLOOKUP(GERENCIAMENTO!$D$25&amp;ROW(A12),'ATIVIDADES E APONTAMENTOS'!$A:$F,{2,3,4,5,6},0),"Não Executar")</f>
        <v>3 - ISOLANTE OU FELTRO</v>
      </c>
      <c r="H63" s="57">
        <v>0</v>
      </c>
      <c r="I63" s="57">
        <v>0</v>
      </c>
      <c r="J63" s="57" t="str">
        <v>Não Executar</v>
      </c>
      <c r="K63" s="57">
        <v>0</v>
      </c>
      <c r="L63" s="58">
        <f t="shared" si="0"/>
        <v>0</v>
      </c>
    </row>
    <row r="64" spans="6:12" ht="15" customHeight="1" x14ac:dyDescent="0.45">
      <c r="F64" s="23">
        <v>13</v>
      </c>
      <c r="G64" s="57" t="str" cm="1">
        <f t="array" ref="G64:K64">IFERROR(VLOOKUP(GERENCIAMENTO!$D$25&amp;ROW(A13),'ATIVIDADES E APONTAMENTOS'!$A:$F,{2,3,4,5,6},0),"Não Executar")</f>
        <v>3 - ISOLANTE OU FELTRO</v>
      </c>
      <c r="H64" s="57">
        <v>0</v>
      </c>
      <c r="I64" s="57">
        <v>0</v>
      </c>
      <c r="J64" s="57" t="str">
        <v>Não Executar</v>
      </c>
      <c r="K64" s="57">
        <v>0</v>
      </c>
      <c r="L64" s="58">
        <f t="shared" si="0"/>
        <v>0</v>
      </c>
    </row>
    <row r="65" spans="6:12" ht="15" customHeight="1" x14ac:dyDescent="0.45">
      <c r="F65" s="23">
        <v>14</v>
      </c>
      <c r="G65" s="57" t="str" cm="1">
        <f t="array" ref="G65">IFERROR(VLOOKUP(GERENCIAMENTO!$D$25&amp;ROW(A14),'ATIVIDADES E APONTAMENTOS'!$A:$F,{2,3,4,5,6},0),"Não Executar")</f>
        <v>Não Executar</v>
      </c>
      <c r="L65" s="58">
        <f t="shared" si="0"/>
        <v>0</v>
      </c>
    </row>
    <row r="66" spans="6:12" ht="15" customHeight="1" x14ac:dyDescent="0.45">
      <c r="F66" s="23">
        <v>15</v>
      </c>
      <c r="G66" s="57" t="str" cm="1">
        <f t="array" ref="G66">IFERROR(VLOOKUP(GERENCIAMENTO!$D$25&amp;ROW(A15),'ATIVIDADES E APONTAMENTOS'!$A:$F,{2,3,4,5,6},0),"Não Executar")</f>
        <v>Não Executar</v>
      </c>
      <c r="L66" s="58">
        <f t="shared" si="0"/>
        <v>0</v>
      </c>
    </row>
    <row r="67" spans="6:12" ht="15" customHeight="1" x14ac:dyDescent="0.45">
      <c r="F67" s="23">
        <v>16</v>
      </c>
      <c r="G67" s="57" t="str" cm="1">
        <f t="array" ref="G67">IFERROR(VLOOKUP(GERENCIAMENTO!$D$25&amp;ROW(A16),'ATIVIDADES E APONTAMENTOS'!$A:$F,{2,3,4,5,6},0),"Não Executar")</f>
        <v>Não Executar</v>
      </c>
      <c r="L67" s="58">
        <f t="shared" ref="L67:L130" si="1">K67/60</f>
        <v>0</v>
      </c>
    </row>
    <row r="68" spans="6:12" ht="15" customHeight="1" x14ac:dyDescent="0.45">
      <c r="F68" s="23">
        <v>17</v>
      </c>
      <c r="G68" s="57" t="str" cm="1">
        <f t="array" ref="G68">IFERROR(VLOOKUP(GERENCIAMENTO!$D$25&amp;ROW(A17),'ATIVIDADES E APONTAMENTOS'!$A:$F,{2,3,4,5,6},0),"Não Executar")</f>
        <v>Não Executar</v>
      </c>
      <c r="L68" s="58">
        <f t="shared" si="1"/>
        <v>0</v>
      </c>
    </row>
    <row r="69" spans="6:12" ht="15" customHeight="1" x14ac:dyDescent="0.45">
      <c r="F69" s="23">
        <v>18</v>
      </c>
      <c r="G69" s="57" t="str" cm="1">
        <f t="array" ref="G69">IFERROR(VLOOKUP(GERENCIAMENTO!$D$25&amp;ROW(A18),'ATIVIDADES E APONTAMENTOS'!$A:$F,{2,3,4,5,6},0),"Não Executar")</f>
        <v>Não Executar</v>
      </c>
      <c r="L69" s="58">
        <f t="shared" si="1"/>
        <v>0</v>
      </c>
    </row>
    <row r="70" spans="6:12" ht="15" customHeight="1" x14ac:dyDescent="0.45">
      <c r="F70" s="23">
        <v>19</v>
      </c>
      <c r="G70" s="57" t="str" cm="1">
        <f t="array" ref="G70">IFERROR(VLOOKUP(GERENCIAMENTO!$D$25&amp;ROW(A19),'ATIVIDADES E APONTAMENTOS'!$A:$F,{2,3,4,5,6},0),"Não Executar")</f>
        <v>Não Executar</v>
      </c>
      <c r="L70" s="58">
        <f t="shared" si="1"/>
        <v>0</v>
      </c>
    </row>
    <row r="71" spans="6:12" ht="15" customHeight="1" x14ac:dyDescent="0.45">
      <c r="F71" s="23">
        <v>20</v>
      </c>
      <c r="G71" s="57" t="str" cm="1">
        <f t="array" ref="G71">IFERROR(VLOOKUP(GERENCIAMENTO!$D$25&amp;ROW(A20),'ATIVIDADES E APONTAMENTOS'!$A:$F,{2,3,4,5,6},0),"Não Executar")</f>
        <v>Não Executar</v>
      </c>
      <c r="L71" s="58">
        <f t="shared" si="1"/>
        <v>0</v>
      </c>
    </row>
    <row r="72" spans="6:12" ht="15" customHeight="1" x14ac:dyDescent="0.45">
      <c r="F72" s="23">
        <v>21</v>
      </c>
      <c r="G72" s="57" t="str" cm="1">
        <f t="array" ref="G72">IFERROR(VLOOKUP(GERENCIAMENTO!$D$25&amp;ROW(A21),'ATIVIDADES E APONTAMENTOS'!$A:$F,{2,3,4,5,6},0),"Não Executar")</f>
        <v>Não Executar</v>
      </c>
      <c r="L72" s="58">
        <f t="shared" si="1"/>
        <v>0</v>
      </c>
    </row>
    <row r="73" spans="6:12" ht="15" customHeight="1" x14ac:dyDescent="0.45">
      <c r="F73" s="23">
        <v>22</v>
      </c>
      <c r="G73" s="57" t="str" cm="1">
        <f t="array" ref="G73">IFERROR(VLOOKUP(GERENCIAMENTO!$D$25&amp;ROW(A22),'ATIVIDADES E APONTAMENTOS'!$A:$F,{2,3,4,5,6},0),"Não Executar")</f>
        <v>Não Executar</v>
      </c>
      <c r="L73" s="58">
        <f t="shared" si="1"/>
        <v>0</v>
      </c>
    </row>
    <row r="74" spans="6:12" ht="15" customHeight="1" x14ac:dyDescent="0.45">
      <c r="F74" s="23">
        <v>23</v>
      </c>
      <c r="G74" s="57" t="str" cm="1">
        <f t="array" ref="G74">IFERROR(VLOOKUP(GERENCIAMENTO!$D$25&amp;ROW(A23),'ATIVIDADES E APONTAMENTOS'!$A:$F,{2,3,4,5,6},0),"Não Executar")</f>
        <v>Não Executar</v>
      </c>
      <c r="L74" s="58">
        <f t="shared" si="1"/>
        <v>0</v>
      </c>
    </row>
    <row r="75" spans="6:12" ht="15" customHeight="1" x14ac:dyDescent="0.45">
      <c r="F75" s="23">
        <v>24</v>
      </c>
      <c r="G75" s="57" t="str" cm="1">
        <f t="array" ref="G75">IFERROR(VLOOKUP(GERENCIAMENTO!$D$25&amp;ROW(A24),'ATIVIDADES E APONTAMENTOS'!$A:$F,{2,3,4,5,6},0),"Não Executar")</f>
        <v>Não Executar</v>
      </c>
      <c r="L75" s="58">
        <f t="shared" si="1"/>
        <v>0</v>
      </c>
    </row>
    <row r="76" spans="6:12" ht="15" customHeight="1" x14ac:dyDescent="0.45">
      <c r="F76" s="23">
        <v>25</v>
      </c>
      <c r="G76" s="57" t="str" cm="1">
        <f t="array" ref="G76">IFERROR(VLOOKUP(GERENCIAMENTO!$D$25&amp;ROW(A25),'ATIVIDADES E APONTAMENTOS'!$A:$F,{2,3,4,5,6},0),"Não Executar")</f>
        <v>Não Executar</v>
      </c>
      <c r="L76" s="58">
        <f t="shared" si="1"/>
        <v>0</v>
      </c>
    </row>
    <row r="77" spans="6:12" ht="15" customHeight="1" x14ac:dyDescent="0.45">
      <c r="F77" s="59">
        <v>1</v>
      </c>
      <c r="G77" s="57" t="str" cm="1">
        <f t="array" ref="G77:K77">IFERROR(VLOOKUP(GERENCIAMENTO!$D$26&amp;ROW(A1),'ATIVIDADES E APONTAMENTOS'!$A:$F,{2,3,4,5,6},0),"Não Executar")</f>
        <v>4 - TETO</v>
      </c>
      <c r="H77" s="57" t="str">
        <v>DESMONTAGEM</v>
      </c>
      <c r="I77" s="57" t="str">
        <v>Desmontar teto e colunas</v>
      </c>
      <c r="J77" s="57" t="str">
        <v>Nikolas</v>
      </c>
      <c r="K77" s="57">
        <v>80</v>
      </c>
      <c r="L77" s="58">
        <f t="shared" si="1"/>
        <v>1.3333333333333333</v>
      </c>
    </row>
    <row r="78" spans="6:12" ht="15" customHeight="1" x14ac:dyDescent="0.45">
      <c r="F78" s="59">
        <v>2</v>
      </c>
      <c r="G78" s="57" t="str" cm="1">
        <f t="array" ref="G78:K78">IFERROR(VLOOKUP(GERENCIAMENTO!$D$26&amp;ROW(A2),'ATIVIDADES E APONTAMENTOS'!$A:$F,{2,3,4,5,6},0),"Não Executar")</f>
        <v>4 - TETO</v>
      </c>
      <c r="H78" s="57" t="str">
        <v>PREPARAÇÃO</v>
      </c>
      <c r="I78" s="57" t="str">
        <v>Remoção tecido antigo e limpeza</v>
      </c>
      <c r="J78" s="57" t="str">
        <v>Nikolas</v>
      </c>
      <c r="K78" s="57">
        <v>240</v>
      </c>
      <c r="L78" s="58">
        <f t="shared" si="1"/>
        <v>4</v>
      </c>
    </row>
    <row r="79" spans="6:12" ht="15" customHeight="1" x14ac:dyDescent="0.45">
      <c r="F79" s="59">
        <v>3</v>
      </c>
      <c r="G79" s="57" t="str" cm="1">
        <f t="array" ref="G79:K79">IFERROR(VLOOKUP(GERENCIAMENTO!$D$26&amp;ROW(A3),'ATIVIDADES E APONTAMENTOS'!$A:$F,{2,3,4,5,6},0),"Não Executar")</f>
        <v>4 - TETO</v>
      </c>
      <c r="H79" s="57" t="str">
        <v>PREPARAÇÃO</v>
      </c>
      <c r="I79" s="57" t="str">
        <v>Limpeza das colunas originais</v>
      </c>
      <c r="J79" s="57" t="str">
        <v>Nikolas</v>
      </c>
      <c r="K79" s="57">
        <v>60</v>
      </c>
      <c r="L79" s="58">
        <f t="shared" si="1"/>
        <v>1</v>
      </c>
    </row>
    <row r="80" spans="6:12" ht="15" customHeight="1" x14ac:dyDescent="0.45">
      <c r="F80" s="59">
        <v>4</v>
      </c>
      <c r="G80" s="57" t="str" cm="1">
        <f t="array" ref="G80:K80">IFERROR(VLOOKUP(GERENCIAMENTO!$D$26&amp;ROW(A4),'ATIVIDADES E APONTAMENTOS'!$A:$F,{2,3,4,5,6},0),"Não Executar")</f>
        <v>4 - TETO</v>
      </c>
      <c r="H80" s="57" t="str">
        <v>CORTE</v>
      </c>
      <c r="I80" s="57" t="str">
        <v>Corte do novo tecido</v>
      </c>
      <c r="J80" s="57" t="str">
        <v>Rita</v>
      </c>
      <c r="K80" s="57">
        <v>15</v>
      </c>
      <c r="L80" s="58">
        <f t="shared" si="1"/>
        <v>0.25</v>
      </c>
    </row>
    <row r="81" spans="6:12" ht="15" customHeight="1" x14ac:dyDescent="0.45">
      <c r="F81" s="59">
        <v>5</v>
      </c>
      <c r="G81" s="57" t="str" cm="1">
        <f t="array" ref="G81:K81">IFERROR(VLOOKUP(GERENCIAMENTO!$D$26&amp;ROW(A5),'ATIVIDADES E APONTAMENTOS'!$A:$F,{2,3,4,5,6},0),"Não Executar")</f>
        <v>4 - TETO</v>
      </c>
      <c r="H81" s="57" t="str">
        <v>APLICAÇÃO COLA</v>
      </c>
      <c r="I81" s="57" t="str">
        <v>Aplicação cola no teto e no tecido</v>
      </c>
      <c r="J81" s="57" t="str">
        <v>Nikolas</v>
      </c>
      <c r="K81" s="57">
        <v>30</v>
      </c>
      <c r="L81" s="58">
        <f t="shared" si="1"/>
        <v>0.5</v>
      </c>
    </row>
    <row r="82" spans="6:12" ht="15" customHeight="1" x14ac:dyDescent="0.45">
      <c r="F82" s="59">
        <v>6</v>
      </c>
      <c r="G82" s="57" t="str" cm="1">
        <f t="array" ref="G82:K82">IFERROR(VLOOKUP(GERENCIAMENTO!$D$26&amp;ROW(A6),'ATIVIDADES E APONTAMENTOS'!$A:$F,{2,3,4,5,6},0),"Não Executar")</f>
        <v>4 - TETO</v>
      </c>
      <c r="H82" s="57" t="str">
        <v>COLAGEM</v>
      </c>
      <c r="I82" s="57" t="str">
        <v>Revestir o teto com tecido novo</v>
      </c>
      <c r="J82" s="57" t="str">
        <v>Gabriel</v>
      </c>
      <c r="K82" s="57">
        <v>80</v>
      </c>
      <c r="L82" s="58">
        <f t="shared" si="1"/>
        <v>1.3333333333333333</v>
      </c>
    </row>
    <row r="83" spans="6:12" ht="15" customHeight="1" x14ac:dyDescent="0.45">
      <c r="F83" s="59">
        <v>7</v>
      </c>
      <c r="G83" s="57" t="str" cm="1">
        <f t="array" ref="G83:K83">IFERROR(VLOOKUP(GERENCIAMENTO!$D$26&amp;ROW(A7),'ATIVIDADES E APONTAMENTOS'!$A:$F,{2,3,4,5,6},0),"Não Executar")</f>
        <v>4 - TETO</v>
      </c>
      <c r="H83" s="57" t="str">
        <v>MONTAGEM</v>
      </c>
      <c r="I83" s="57" t="str">
        <v>Montar teto e colunas</v>
      </c>
      <c r="J83" s="57" t="str">
        <v>Arthur</v>
      </c>
      <c r="K83" s="57">
        <v>80</v>
      </c>
      <c r="L83" s="58">
        <f t="shared" si="1"/>
        <v>1.3333333333333333</v>
      </c>
    </row>
    <row r="84" spans="6:12" ht="15" customHeight="1" x14ac:dyDescent="0.45">
      <c r="F84" s="59">
        <v>8</v>
      </c>
      <c r="G84" s="57" t="str" cm="1">
        <f t="array" ref="G84:K84">IFERROR(VLOOKUP(GERENCIAMENTO!$D$26&amp;ROW(A8),'ATIVIDADES E APONTAMENTOS'!$A:$F,{2,3,4,5,6},0),"Não Executar")</f>
        <v>4 - TETO</v>
      </c>
      <c r="H84" s="57">
        <v>0</v>
      </c>
      <c r="I84" s="57">
        <v>0</v>
      </c>
      <c r="J84" s="57" t="str">
        <v>Não Executar</v>
      </c>
      <c r="K84" s="57">
        <v>0</v>
      </c>
      <c r="L84" s="58">
        <f t="shared" si="1"/>
        <v>0</v>
      </c>
    </row>
    <row r="85" spans="6:12" ht="15" customHeight="1" x14ac:dyDescent="0.45">
      <c r="F85" s="59">
        <v>9</v>
      </c>
      <c r="G85" s="57" t="str" cm="1">
        <f t="array" ref="G85:K85">IFERROR(VLOOKUP(GERENCIAMENTO!$D$26&amp;ROW(A9),'ATIVIDADES E APONTAMENTOS'!$A:$F,{2,3,4,5,6},0),"Não Executar")</f>
        <v>4 - TETO</v>
      </c>
      <c r="H85" s="57">
        <v>0</v>
      </c>
      <c r="I85" s="57">
        <v>0</v>
      </c>
      <c r="J85" s="57" t="str">
        <v>Não Executar</v>
      </c>
      <c r="K85" s="57">
        <v>0</v>
      </c>
      <c r="L85" s="58">
        <f t="shared" si="1"/>
        <v>0</v>
      </c>
    </row>
    <row r="86" spans="6:12" ht="15" customHeight="1" x14ac:dyDescent="0.45">
      <c r="F86" s="59">
        <v>10</v>
      </c>
      <c r="G86" s="57" t="str" cm="1">
        <f t="array" ref="G86:K86">IFERROR(VLOOKUP(GERENCIAMENTO!$D$26&amp;ROW(A10),'ATIVIDADES E APONTAMENTOS'!$A:$F,{2,3,4,5,6},0),"Não Executar")</f>
        <v>4 - TETO</v>
      </c>
      <c r="H86" s="57">
        <v>0</v>
      </c>
      <c r="I86" s="57">
        <v>0</v>
      </c>
      <c r="J86" s="57" t="str">
        <v>Não Executar</v>
      </c>
      <c r="K86" s="57">
        <v>0</v>
      </c>
      <c r="L86" s="58">
        <f t="shared" si="1"/>
        <v>0</v>
      </c>
    </row>
    <row r="87" spans="6:12" ht="15" customHeight="1" x14ac:dyDescent="0.45">
      <c r="F87" s="59">
        <v>11</v>
      </c>
      <c r="G87" s="57" t="str" cm="1">
        <f t="array" ref="G87:K87">IFERROR(VLOOKUP(GERENCIAMENTO!$D$26&amp;ROW(A11),'ATIVIDADES E APONTAMENTOS'!$A:$F,{2,3,4,5,6},0),"Não Executar")</f>
        <v>4 - TETO</v>
      </c>
      <c r="H87" s="57">
        <v>0</v>
      </c>
      <c r="I87" s="57">
        <v>0</v>
      </c>
      <c r="J87" s="57" t="str">
        <v>Não Executar</v>
      </c>
      <c r="K87" s="57">
        <v>0</v>
      </c>
      <c r="L87" s="58">
        <f t="shared" si="1"/>
        <v>0</v>
      </c>
    </row>
    <row r="88" spans="6:12" ht="15" customHeight="1" x14ac:dyDescent="0.45">
      <c r="F88" s="59">
        <v>12</v>
      </c>
      <c r="G88" s="57" t="str" cm="1">
        <f t="array" ref="G88:K88">IFERROR(VLOOKUP(GERENCIAMENTO!$D$26&amp;ROW(A12),'ATIVIDADES E APONTAMENTOS'!$A:$F,{2,3,4,5,6},0),"Não Executar")</f>
        <v>4 - TETO</v>
      </c>
      <c r="H88" s="57">
        <v>0</v>
      </c>
      <c r="I88" s="57">
        <v>0</v>
      </c>
      <c r="J88" s="57" t="str">
        <v>Não Executar</v>
      </c>
      <c r="K88" s="57">
        <v>0</v>
      </c>
      <c r="L88" s="58">
        <f t="shared" si="1"/>
        <v>0</v>
      </c>
    </row>
    <row r="89" spans="6:12" ht="15" customHeight="1" x14ac:dyDescent="0.45">
      <c r="F89" s="59">
        <v>13</v>
      </c>
      <c r="G89" s="57" t="str" cm="1">
        <f t="array" ref="G89:K89">IFERROR(VLOOKUP(GERENCIAMENTO!$D$26&amp;ROW(A13),'ATIVIDADES E APONTAMENTOS'!$A:$F,{2,3,4,5,6},0),"Não Executar")</f>
        <v>4 - TETO</v>
      </c>
      <c r="H89" s="57">
        <v>0</v>
      </c>
      <c r="I89" s="57">
        <v>0</v>
      </c>
      <c r="J89" s="57" t="str">
        <v>Não Executar</v>
      </c>
      <c r="K89" s="57">
        <v>0</v>
      </c>
      <c r="L89" s="58">
        <f t="shared" si="1"/>
        <v>0</v>
      </c>
    </row>
    <row r="90" spans="6:12" ht="15" customHeight="1" x14ac:dyDescent="0.45">
      <c r="F90" s="59">
        <v>14</v>
      </c>
      <c r="G90" s="57" t="str" cm="1">
        <f t="array" ref="G90">IFERROR(VLOOKUP(GERENCIAMENTO!$D$26&amp;ROW(A14),'ATIVIDADES E APONTAMENTOS'!$A:$F,{2,3,4,5,6},0),"Não Executar")</f>
        <v>Não Executar</v>
      </c>
      <c r="L90" s="58">
        <f t="shared" si="1"/>
        <v>0</v>
      </c>
    </row>
    <row r="91" spans="6:12" ht="15" customHeight="1" x14ac:dyDescent="0.45">
      <c r="F91" s="59">
        <v>15</v>
      </c>
      <c r="G91" s="57" t="str" cm="1">
        <f t="array" ref="G91">IFERROR(VLOOKUP(GERENCIAMENTO!$D$26&amp;ROW(A15),'ATIVIDADES E APONTAMENTOS'!$A:$F,{2,3,4,5,6},0),"Não Executar")</f>
        <v>Não Executar</v>
      </c>
      <c r="L91" s="58">
        <f t="shared" si="1"/>
        <v>0</v>
      </c>
    </row>
    <row r="92" spans="6:12" ht="15" customHeight="1" x14ac:dyDescent="0.45">
      <c r="F92" s="59">
        <v>16</v>
      </c>
      <c r="G92" s="57" t="str" cm="1">
        <f t="array" ref="G92">IFERROR(VLOOKUP(GERENCIAMENTO!$D$26&amp;ROW(A16),'ATIVIDADES E APONTAMENTOS'!$A:$F,{2,3,4,5,6},0),"Não Executar")</f>
        <v>Não Executar</v>
      </c>
      <c r="L92" s="58">
        <f t="shared" si="1"/>
        <v>0</v>
      </c>
    </row>
    <row r="93" spans="6:12" ht="15" customHeight="1" x14ac:dyDescent="0.45">
      <c r="F93" s="59">
        <v>17</v>
      </c>
      <c r="G93" s="57" t="str" cm="1">
        <f t="array" ref="G93">IFERROR(VLOOKUP(GERENCIAMENTO!$D$26&amp;ROW(A17),'ATIVIDADES E APONTAMENTOS'!$A:$F,{2,3,4,5,6},0),"Não Executar")</f>
        <v>Não Executar</v>
      </c>
      <c r="L93" s="58">
        <f t="shared" si="1"/>
        <v>0</v>
      </c>
    </row>
    <row r="94" spans="6:12" ht="15" customHeight="1" x14ac:dyDescent="0.45">
      <c r="F94" s="59">
        <v>18</v>
      </c>
      <c r="G94" s="57" t="str" cm="1">
        <f t="array" ref="G94">IFERROR(VLOOKUP(GERENCIAMENTO!$D$26&amp;ROW(A18),'ATIVIDADES E APONTAMENTOS'!$A:$F,{2,3,4,5,6},0),"Não Executar")</f>
        <v>Não Executar</v>
      </c>
      <c r="L94" s="58">
        <f t="shared" si="1"/>
        <v>0</v>
      </c>
    </row>
    <row r="95" spans="6:12" ht="15" customHeight="1" x14ac:dyDescent="0.45">
      <c r="F95" s="59">
        <v>19</v>
      </c>
      <c r="G95" s="57" t="str" cm="1">
        <f t="array" ref="G95">IFERROR(VLOOKUP(GERENCIAMENTO!$D$26&amp;ROW(A19),'ATIVIDADES E APONTAMENTOS'!$A:$F,{2,3,4,5,6},0),"Não Executar")</f>
        <v>Não Executar</v>
      </c>
      <c r="L95" s="58">
        <f t="shared" si="1"/>
        <v>0</v>
      </c>
    </row>
    <row r="96" spans="6:12" ht="15" customHeight="1" x14ac:dyDescent="0.45">
      <c r="F96" s="59">
        <v>20</v>
      </c>
      <c r="G96" s="57" t="str" cm="1">
        <f t="array" ref="G96">IFERROR(VLOOKUP(GERENCIAMENTO!$D$26&amp;ROW(A20),'ATIVIDADES E APONTAMENTOS'!$A:$F,{2,3,4,5,6},0),"Não Executar")</f>
        <v>Não Executar</v>
      </c>
      <c r="L96" s="58">
        <f t="shared" si="1"/>
        <v>0</v>
      </c>
    </row>
    <row r="97" spans="6:12" ht="15" customHeight="1" x14ac:dyDescent="0.45">
      <c r="F97" s="59">
        <v>21</v>
      </c>
      <c r="G97" s="57" t="str" cm="1">
        <f t="array" ref="G97">IFERROR(VLOOKUP(GERENCIAMENTO!$D$26&amp;ROW(A21),'ATIVIDADES E APONTAMENTOS'!$A:$F,{2,3,4,5,6},0),"Não Executar")</f>
        <v>Não Executar</v>
      </c>
      <c r="L97" s="58">
        <f t="shared" si="1"/>
        <v>0</v>
      </c>
    </row>
    <row r="98" spans="6:12" ht="15" customHeight="1" x14ac:dyDescent="0.45">
      <c r="F98" s="59">
        <v>22</v>
      </c>
      <c r="G98" s="57" t="str" cm="1">
        <f t="array" ref="G98">IFERROR(VLOOKUP(GERENCIAMENTO!$D$26&amp;ROW(A22),'ATIVIDADES E APONTAMENTOS'!$A:$F,{2,3,4,5,6},0),"Não Executar")</f>
        <v>Não Executar</v>
      </c>
      <c r="L98" s="58">
        <f t="shared" si="1"/>
        <v>0</v>
      </c>
    </row>
    <row r="99" spans="6:12" ht="15" customHeight="1" x14ac:dyDescent="0.45">
      <c r="F99" s="59">
        <v>23</v>
      </c>
      <c r="G99" s="57" t="str" cm="1">
        <f t="array" ref="G99">IFERROR(VLOOKUP(GERENCIAMENTO!$D$26&amp;ROW(A23),'ATIVIDADES E APONTAMENTOS'!$A:$F,{2,3,4,5,6},0),"Não Executar")</f>
        <v>Não Executar</v>
      </c>
      <c r="L99" s="58">
        <f t="shared" si="1"/>
        <v>0</v>
      </c>
    </row>
    <row r="100" spans="6:12" ht="15" customHeight="1" x14ac:dyDescent="0.45">
      <c r="F100" s="59">
        <v>24</v>
      </c>
      <c r="G100" s="57" t="str" cm="1">
        <f t="array" ref="G100">IFERROR(VLOOKUP(GERENCIAMENTO!$D$26&amp;ROW(A24),'ATIVIDADES E APONTAMENTOS'!$A:$F,{2,3,4,5,6},0),"Não Executar")</f>
        <v>Não Executar</v>
      </c>
      <c r="L100" s="58">
        <f t="shared" si="1"/>
        <v>0</v>
      </c>
    </row>
    <row r="101" spans="6:12" ht="15" customHeight="1" x14ac:dyDescent="0.45">
      <c r="F101" s="59">
        <v>25</v>
      </c>
      <c r="G101" s="57" t="str" cm="1">
        <f t="array" ref="G101">IFERROR(VLOOKUP(GERENCIAMENTO!$D$26&amp;ROW(A25),'ATIVIDADES E APONTAMENTOS'!$A:$F,{2,3,4,5,6},0),"Não Executar")</f>
        <v>Não Executar</v>
      </c>
      <c r="L101" s="58">
        <f t="shared" si="1"/>
        <v>0</v>
      </c>
    </row>
    <row r="102" spans="6:12" ht="15" customHeight="1" x14ac:dyDescent="0.45">
      <c r="F102" s="23">
        <v>1</v>
      </c>
      <c r="G102" s="57" t="str" cm="1">
        <f t="array" ref="G102:K102">IFERROR(VLOOKUP(GERENCIAMENTO!$D$27&amp;ROW(A1),'ATIVIDADES E APONTAMENTOS'!$A:$F,{2,3,4,5,6},0),"Não Executar")</f>
        <v>5 - CINTOS</v>
      </c>
      <c r="H102" s="57" t="str">
        <v>MONTAGEM</v>
      </c>
      <c r="I102" s="57" t="str">
        <v>Instalaçao cinto de 3 pontos retrateis - novos BRV</v>
      </c>
      <c r="J102" s="57" t="str">
        <v>Arthur</v>
      </c>
      <c r="K102" s="57">
        <v>10</v>
      </c>
      <c r="L102" s="58">
        <f t="shared" si="1"/>
        <v>0.16666666666666666</v>
      </c>
    </row>
    <row r="103" spans="6:12" ht="15" customHeight="1" x14ac:dyDescent="0.45">
      <c r="F103" s="23">
        <v>2</v>
      </c>
      <c r="G103" s="57" t="str" cm="1">
        <f t="array" ref="G103:K103">IFERROR(VLOOKUP(GERENCIAMENTO!$D$27&amp;ROW(A2),'ATIVIDADES E APONTAMENTOS'!$A:$F,{2,3,4,5,6},0),"Não Executar")</f>
        <v>5 - CINTOS</v>
      </c>
      <c r="H103" s="57" t="str">
        <v>MONTAGEM</v>
      </c>
      <c r="I103" s="57" t="str">
        <v>Instalação de cintos abdominais traseiros 3 pçs - BRV</v>
      </c>
      <c r="J103" s="57" t="str">
        <v>Arthur</v>
      </c>
      <c r="K103" s="57">
        <v>15</v>
      </c>
      <c r="L103" s="58">
        <f t="shared" si="1"/>
        <v>0.25</v>
      </c>
    </row>
    <row r="104" spans="6:12" ht="15" customHeight="1" x14ac:dyDescent="0.45">
      <c r="F104" s="23">
        <v>3</v>
      </c>
      <c r="G104" s="57" t="str" cm="1">
        <f t="array" ref="G104:K104">IFERROR(VLOOKUP(GERENCIAMENTO!$D$27&amp;ROW(A3),'ATIVIDADES E APONTAMENTOS'!$A:$F,{2,3,4,5,6},0),"Não Executar")</f>
        <v>5 - CINTOS</v>
      </c>
      <c r="H104" s="57">
        <v>0</v>
      </c>
      <c r="I104" s="57">
        <v>0</v>
      </c>
      <c r="J104" s="57" t="str">
        <v>Não Executar</v>
      </c>
      <c r="K104" s="57">
        <v>0</v>
      </c>
      <c r="L104" s="58">
        <f t="shared" si="1"/>
        <v>0</v>
      </c>
    </row>
    <row r="105" spans="6:12" ht="15" customHeight="1" x14ac:dyDescent="0.45">
      <c r="F105" s="23">
        <v>4</v>
      </c>
      <c r="G105" s="57" t="str" cm="1">
        <f t="array" ref="G105:K105">IFERROR(VLOOKUP(GERENCIAMENTO!$D$27&amp;ROW(A4),'ATIVIDADES E APONTAMENTOS'!$A:$F,{2,3,4,5,6},0),"Não Executar")</f>
        <v>5 - CINTOS</v>
      </c>
      <c r="H105" s="57">
        <v>0</v>
      </c>
      <c r="I105" s="57">
        <v>0</v>
      </c>
      <c r="J105" s="57" t="str">
        <v>Não Executar</v>
      </c>
      <c r="K105" s="57">
        <v>0</v>
      </c>
      <c r="L105" s="58">
        <f t="shared" si="1"/>
        <v>0</v>
      </c>
    </row>
    <row r="106" spans="6:12" ht="15" customHeight="1" x14ac:dyDescent="0.45">
      <c r="F106" s="23">
        <v>5</v>
      </c>
      <c r="G106" s="57" t="str" cm="1">
        <f t="array" ref="G106:K106">IFERROR(VLOOKUP(GERENCIAMENTO!$D$27&amp;ROW(A5),'ATIVIDADES E APONTAMENTOS'!$A:$F,{2,3,4,5,6},0),"Não Executar")</f>
        <v>5 - CINTOS</v>
      </c>
      <c r="H106" s="57">
        <v>0</v>
      </c>
      <c r="I106" s="57">
        <v>0</v>
      </c>
      <c r="J106" s="57" t="str">
        <v>Não Executar</v>
      </c>
      <c r="K106" s="57">
        <v>0</v>
      </c>
      <c r="L106" s="58">
        <f t="shared" si="1"/>
        <v>0</v>
      </c>
    </row>
    <row r="107" spans="6:12" ht="15" customHeight="1" x14ac:dyDescent="0.45">
      <c r="F107" s="23">
        <v>6</v>
      </c>
      <c r="G107" s="57" t="str" cm="1">
        <f t="array" ref="G107:K107">IFERROR(VLOOKUP(GERENCIAMENTO!$D$27&amp;ROW(A6),'ATIVIDADES E APONTAMENTOS'!$A:$F,{2,3,4,5,6},0),"Não Executar")</f>
        <v>5 - CINTOS</v>
      </c>
      <c r="H107" s="57">
        <v>0</v>
      </c>
      <c r="I107" s="57">
        <v>0</v>
      </c>
      <c r="J107" s="57" t="str">
        <v>Não Executar</v>
      </c>
      <c r="K107" s="57">
        <v>0</v>
      </c>
      <c r="L107" s="58">
        <f t="shared" si="1"/>
        <v>0</v>
      </c>
    </row>
    <row r="108" spans="6:12" ht="15" customHeight="1" x14ac:dyDescent="0.45">
      <c r="F108" s="23">
        <v>7</v>
      </c>
      <c r="G108" s="57" t="str" cm="1">
        <f t="array" ref="G108:K108">IFERROR(VLOOKUP(GERENCIAMENTO!$D$27&amp;ROW(A7),'ATIVIDADES E APONTAMENTOS'!$A:$F,{2,3,4,5,6},0),"Não Executar")</f>
        <v>5 - CINTOS</v>
      </c>
      <c r="H108" s="57">
        <v>0</v>
      </c>
      <c r="I108" s="57">
        <v>0</v>
      </c>
      <c r="J108" s="57" t="str">
        <v>Não Executar</v>
      </c>
      <c r="K108" s="57">
        <v>0</v>
      </c>
      <c r="L108" s="58">
        <f t="shared" si="1"/>
        <v>0</v>
      </c>
    </row>
    <row r="109" spans="6:12" ht="15" customHeight="1" x14ac:dyDescent="0.45">
      <c r="F109" s="23">
        <v>8</v>
      </c>
      <c r="G109" s="57" t="str" cm="1">
        <f t="array" ref="G109:K109">IFERROR(VLOOKUP(GERENCIAMENTO!$D$27&amp;ROW(A8),'ATIVIDADES E APONTAMENTOS'!$A:$F,{2,3,4,5,6},0),"Não Executar")</f>
        <v>5 - CINTOS</v>
      </c>
      <c r="H109" s="57">
        <v>0</v>
      </c>
      <c r="I109" s="57">
        <v>0</v>
      </c>
      <c r="J109" s="57" t="str">
        <v>Não Executar</v>
      </c>
      <c r="K109" s="57">
        <v>0</v>
      </c>
      <c r="L109" s="58">
        <f t="shared" si="1"/>
        <v>0</v>
      </c>
    </row>
    <row r="110" spans="6:12" ht="15" customHeight="1" x14ac:dyDescent="0.45">
      <c r="F110" s="23">
        <v>9</v>
      </c>
      <c r="G110" s="57" t="str" cm="1">
        <f t="array" ref="G110">IFERROR(VLOOKUP(GERENCIAMENTO!$D$27&amp;ROW(A9),'ATIVIDADES E APONTAMENTOS'!$A:$F,{2,3,4,5,6},0),"Não Executar")</f>
        <v>Não Executar</v>
      </c>
      <c r="L110" s="58">
        <f t="shared" si="1"/>
        <v>0</v>
      </c>
    </row>
    <row r="111" spans="6:12" ht="15" customHeight="1" x14ac:dyDescent="0.45">
      <c r="F111" s="23">
        <v>10</v>
      </c>
      <c r="G111" s="57" t="str" cm="1">
        <f t="array" ref="G111">IFERROR(VLOOKUP(GERENCIAMENTO!$D$27&amp;ROW(A10),'ATIVIDADES E APONTAMENTOS'!$A:$F,{2,3,4,5,6},0),"Não Executar")</f>
        <v>Não Executar</v>
      </c>
      <c r="L111" s="58">
        <f t="shared" si="1"/>
        <v>0</v>
      </c>
    </row>
    <row r="112" spans="6:12" ht="15" customHeight="1" x14ac:dyDescent="0.45">
      <c r="F112" s="23">
        <v>11</v>
      </c>
      <c r="G112" s="57" t="str" cm="1">
        <f t="array" ref="G112">IFERROR(VLOOKUP(GERENCIAMENTO!$D$27&amp;ROW(A11),'ATIVIDADES E APONTAMENTOS'!$A:$F,{2,3,4,5,6},0),"Não Executar")</f>
        <v>Não Executar</v>
      </c>
      <c r="L112" s="58">
        <f t="shared" si="1"/>
        <v>0</v>
      </c>
    </row>
    <row r="113" spans="6:12" ht="15" customHeight="1" x14ac:dyDescent="0.45">
      <c r="F113" s="23">
        <v>12</v>
      </c>
      <c r="G113" s="57" t="str" cm="1">
        <f t="array" ref="G113">IFERROR(VLOOKUP(GERENCIAMENTO!$D$27&amp;ROW(A12),'ATIVIDADES E APONTAMENTOS'!$A:$F,{2,3,4,5,6},0),"Não Executar")</f>
        <v>Não Executar</v>
      </c>
      <c r="L113" s="58">
        <f t="shared" si="1"/>
        <v>0</v>
      </c>
    </row>
    <row r="114" spans="6:12" ht="15" customHeight="1" x14ac:dyDescent="0.45">
      <c r="F114" s="23">
        <v>13</v>
      </c>
      <c r="G114" s="57" t="str" cm="1">
        <f t="array" ref="G114">IFERROR(VLOOKUP(GERENCIAMENTO!$D$27&amp;ROW(A13),'ATIVIDADES E APONTAMENTOS'!$A:$F,{2,3,4,5,6},0),"Não Executar")</f>
        <v>Não Executar</v>
      </c>
      <c r="L114" s="58">
        <f t="shared" si="1"/>
        <v>0</v>
      </c>
    </row>
    <row r="115" spans="6:12" ht="15" customHeight="1" x14ac:dyDescent="0.45">
      <c r="F115" s="23">
        <v>14</v>
      </c>
      <c r="G115" s="57" t="str" cm="1">
        <f t="array" ref="G115">IFERROR(VLOOKUP(GERENCIAMENTO!$D$27&amp;ROW(A14),'ATIVIDADES E APONTAMENTOS'!$A:$F,{2,3,4,5,6},0),"Não Executar")</f>
        <v>Não Executar</v>
      </c>
      <c r="L115" s="58">
        <f t="shared" si="1"/>
        <v>0</v>
      </c>
    </row>
    <row r="116" spans="6:12" ht="15" customHeight="1" x14ac:dyDescent="0.45">
      <c r="F116" s="23">
        <v>15</v>
      </c>
      <c r="G116" s="57" t="str" cm="1">
        <f t="array" ref="G116">IFERROR(VLOOKUP(GERENCIAMENTO!$D$27&amp;ROW(A15),'ATIVIDADES E APONTAMENTOS'!$A:$F,{2,3,4,5,6},0),"Não Executar")</f>
        <v>Não Executar</v>
      </c>
      <c r="L116" s="58">
        <f t="shared" si="1"/>
        <v>0</v>
      </c>
    </row>
    <row r="117" spans="6:12" ht="15" customHeight="1" x14ac:dyDescent="0.45">
      <c r="F117" s="23">
        <v>16</v>
      </c>
      <c r="G117" s="57" t="str" cm="1">
        <f t="array" ref="G117">IFERROR(VLOOKUP(GERENCIAMENTO!$D$27&amp;ROW(A16),'ATIVIDADES E APONTAMENTOS'!$A:$F,{2,3,4,5,6},0),"Não Executar")</f>
        <v>Não Executar</v>
      </c>
      <c r="L117" s="58">
        <f t="shared" si="1"/>
        <v>0</v>
      </c>
    </row>
    <row r="118" spans="6:12" ht="15" customHeight="1" x14ac:dyDescent="0.45">
      <c r="F118" s="23">
        <v>17</v>
      </c>
      <c r="G118" s="57" t="str" cm="1">
        <f t="array" ref="G118">IFERROR(VLOOKUP(GERENCIAMENTO!$D$27&amp;ROW(A17),'ATIVIDADES E APONTAMENTOS'!$A:$F,{2,3,4,5,6},0),"Não Executar")</f>
        <v>Não Executar</v>
      </c>
      <c r="L118" s="58">
        <f t="shared" si="1"/>
        <v>0</v>
      </c>
    </row>
    <row r="119" spans="6:12" ht="15" customHeight="1" x14ac:dyDescent="0.45">
      <c r="F119" s="23">
        <v>18</v>
      </c>
      <c r="G119" s="57" t="str" cm="1">
        <f t="array" ref="G119">IFERROR(VLOOKUP(GERENCIAMENTO!$D$27&amp;ROW(A18),'ATIVIDADES E APONTAMENTOS'!$A:$F,{2,3,4,5,6},0),"Não Executar")</f>
        <v>Não Executar</v>
      </c>
      <c r="L119" s="58">
        <f t="shared" si="1"/>
        <v>0</v>
      </c>
    </row>
    <row r="120" spans="6:12" ht="15" customHeight="1" x14ac:dyDescent="0.45">
      <c r="F120" s="23">
        <v>19</v>
      </c>
      <c r="G120" s="57" t="str" cm="1">
        <f t="array" ref="G120">IFERROR(VLOOKUP(GERENCIAMENTO!$D$27&amp;ROW(A19),'ATIVIDADES E APONTAMENTOS'!$A:$F,{2,3,4,5,6},0),"Não Executar")</f>
        <v>Não Executar</v>
      </c>
      <c r="L120" s="58">
        <f t="shared" si="1"/>
        <v>0</v>
      </c>
    </row>
    <row r="121" spans="6:12" ht="15" customHeight="1" x14ac:dyDescent="0.45">
      <c r="F121" s="23">
        <v>20</v>
      </c>
      <c r="G121" s="57" t="str" cm="1">
        <f t="array" ref="G121">IFERROR(VLOOKUP(GERENCIAMENTO!$D$27&amp;ROW(A20),'ATIVIDADES E APONTAMENTOS'!$A:$F,{2,3,4,5,6},0),"Não Executar")</f>
        <v>Não Executar</v>
      </c>
      <c r="L121" s="58">
        <f t="shared" si="1"/>
        <v>0</v>
      </c>
    </row>
    <row r="122" spans="6:12" ht="15" customHeight="1" x14ac:dyDescent="0.45">
      <c r="F122" s="23">
        <v>21</v>
      </c>
      <c r="G122" s="57" t="str" cm="1">
        <f t="array" ref="G122">IFERROR(VLOOKUP(GERENCIAMENTO!$D$27&amp;ROW(A21),'ATIVIDADES E APONTAMENTOS'!$A:$F,{2,3,4,5,6},0),"Não Executar")</f>
        <v>Não Executar</v>
      </c>
      <c r="L122" s="58">
        <f t="shared" si="1"/>
        <v>0</v>
      </c>
    </row>
    <row r="123" spans="6:12" ht="15" customHeight="1" x14ac:dyDescent="0.45">
      <c r="F123" s="23">
        <v>22</v>
      </c>
      <c r="G123" s="57" t="str" cm="1">
        <f t="array" ref="G123">IFERROR(VLOOKUP(GERENCIAMENTO!$D$27&amp;ROW(A22),'ATIVIDADES E APONTAMENTOS'!$A:$F,{2,3,4,5,6},0),"Não Executar")</f>
        <v>Não Executar</v>
      </c>
      <c r="L123" s="58">
        <f t="shared" si="1"/>
        <v>0</v>
      </c>
    </row>
    <row r="124" spans="6:12" ht="15" customHeight="1" x14ac:dyDescent="0.45">
      <c r="F124" s="23">
        <v>23</v>
      </c>
      <c r="G124" s="57" t="str" cm="1">
        <f t="array" ref="G124">IFERROR(VLOOKUP(GERENCIAMENTO!$D$27&amp;ROW(A23),'ATIVIDADES E APONTAMENTOS'!$A:$F,{2,3,4,5,6},0),"Não Executar")</f>
        <v>Não Executar</v>
      </c>
      <c r="L124" s="58">
        <f t="shared" si="1"/>
        <v>0</v>
      </c>
    </row>
    <row r="125" spans="6:12" ht="15" customHeight="1" x14ac:dyDescent="0.45">
      <c r="F125" s="23">
        <v>24</v>
      </c>
      <c r="G125" s="57" t="str" cm="1">
        <f t="array" ref="G125">IFERROR(VLOOKUP(GERENCIAMENTO!$D$27&amp;ROW(A24),'ATIVIDADES E APONTAMENTOS'!$A:$F,{2,3,4,5,6},0),"Não Executar")</f>
        <v>Não Executar</v>
      </c>
      <c r="L125" s="58">
        <f t="shared" si="1"/>
        <v>0</v>
      </c>
    </row>
    <row r="126" spans="6:12" ht="15" customHeight="1" x14ac:dyDescent="0.45">
      <c r="F126" s="23">
        <v>25</v>
      </c>
      <c r="G126" s="57" t="str" cm="1">
        <f t="array" ref="G126">IFERROR(VLOOKUP(GERENCIAMENTO!$D$27&amp;ROW(A25),'ATIVIDADES E APONTAMENTOS'!$A:$F,{2,3,4,5,6},0),"Não Executar")</f>
        <v>Não Executar</v>
      </c>
      <c r="L126" s="58">
        <f t="shared" si="1"/>
        <v>0</v>
      </c>
    </row>
    <row r="127" spans="6:12" ht="15" customHeight="1" x14ac:dyDescent="0.45">
      <c r="F127" s="59">
        <v>1</v>
      </c>
      <c r="G127" s="57" t="str" cm="1">
        <f t="array" ref="G127:K127">IFERROR(VLOOKUP(GERENCIAMENTO!$D$28&amp;ROW(A1),'ATIVIDADES E APONTAMENTOS'!$A:$F,{2,3,4,5,6},0),"Não Executar")</f>
        <v>6 -  CARPETE / ASSOALHO    ( NOVO ? / MOLDADO ? / PORSCHE ?)</v>
      </c>
      <c r="H127" s="57" t="str">
        <v>PREPARAÇÃO</v>
      </c>
      <c r="I127" s="57">
        <v>0</v>
      </c>
      <c r="J127" s="57" t="str">
        <v>Lohan</v>
      </c>
      <c r="K127" s="57">
        <v>0</v>
      </c>
      <c r="L127" s="58">
        <f t="shared" si="1"/>
        <v>0</v>
      </c>
    </row>
    <row r="128" spans="6:12" ht="15" customHeight="1" x14ac:dyDescent="0.45">
      <c r="F128" s="59">
        <v>2</v>
      </c>
      <c r="G128" s="57" t="str" cm="1">
        <f t="array" ref="G128:K128">IFERROR(VLOOKUP(GERENCIAMENTO!$D$28&amp;ROW(A2),'ATIVIDADES E APONTAMENTOS'!$A:$F,{2,3,4,5,6},0),"Não Executar")</f>
        <v>6 -  CARPETE / ASSOALHO    ( NOVO ? / MOLDADO ? / PORSCHE ?)</v>
      </c>
      <c r="H128" s="57" t="str">
        <v>PREPARAÇÃO</v>
      </c>
      <c r="I128" s="57">
        <v>0</v>
      </c>
      <c r="J128" s="57" t="str">
        <v>Lohan</v>
      </c>
      <c r="K128" s="57">
        <v>0</v>
      </c>
      <c r="L128" s="58">
        <f t="shared" si="1"/>
        <v>0</v>
      </c>
    </row>
    <row r="129" spans="6:12" ht="15" customHeight="1" x14ac:dyDescent="0.45">
      <c r="F129" s="59">
        <v>3</v>
      </c>
      <c r="G129" s="57" t="str" cm="1">
        <f t="array" ref="G129:K129">IFERROR(VLOOKUP(GERENCIAMENTO!$D$28&amp;ROW(A3),'ATIVIDADES E APONTAMENTOS'!$A:$F,{2,3,4,5,6},0),"Não Executar")</f>
        <v>6 -  CARPETE / ASSOALHO    ( NOVO ? / MOLDADO ? / PORSCHE ?)</v>
      </c>
      <c r="H129" s="57" t="str">
        <v>COSTURA</v>
      </c>
      <c r="I129" s="57">
        <v>0</v>
      </c>
      <c r="J129" s="57" t="str">
        <v>Edna</v>
      </c>
      <c r="K129" s="57">
        <v>0</v>
      </c>
      <c r="L129" s="58">
        <f t="shared" si="1"/>
        <v>0</v>
      </c>
    </row>
    <row r="130" spans="6:12" ht="15" customHeight="1" x14ac:dyDescent="0.45">
      <c r="F130" s="59">
        <v>4</v>
      </c>
      <c r="G130" s="57" t="str" cm="1">
        <f t="array" ref="G130:K130">IFERROR(VLOOKUP(GERENCIAMENTO!$D$28&amp;ROW(A4),'ATIVIDADES E APONTAMENTOS'!$A:$F,{2,3,4,5,6},0),"Não Executar")</f>
        <v>6 -  CARPETE / ASSOALHO    ( NOVO ? / MOLDADO ? / PORSCHE ?)</v>
      </c>
      <c r="H130" s="57" t="str">
        <v>MONTAGEM</v>
      </c>
      <c r="I130" s="57" t="str">
        <v xml:space="preserve">Instalação Carpete no Assoalho </v>
      </c>
      <c r="J130" s="57" t="str">
        <v>Arthur</v>
      </c>
      <c r="K130" s="57">
        <v>60</v>
      </c>
      <c r="L130" s="58">
        <f t="shared" si="1"/>
        <v>1</v>
      </c>
    </row>
    <row r="131" spans="6:12" ht="15" customHeight="1" x14ac:dyDescent="0.45">
      <c r="F131" s="59">
        <v>5</v>
      </c>
      <c r="G131" s="57" t="str" cm="1">
        <f t="array" ref="G131:K131">IFERROR(VLOOKUP(GERENCIAMENTO!$D$28&amp;ROW(A5),'ATIVIDADES E APONTAMENTOS'!$A:$F,{2,3,4,5,6},0),"Não Executar")</f>
        <v>6 -  CARPETE / ASSOALHO    ( NOVO ? / MOLDADO ? / PORSCHE ?)</v>
      </c>
      <c r="H131" s="57">
        <v>0</v>
      </c>
      <c r="I131" s="57">
        <v>0</v>
      </c>
      <c r="J131" s="57" t="str">
        <v>Não Executar</v>
      </c>
      <c r="K131" s="57">
        <v>0</v>
      </c>
      <c r="L131" s="58">
        <f t="shared" ref="L131:L194" si="2">K131/60</f>
        <v>0</v>
      </c>
    </row>
    <row r="132" spans="6:12" ht="15" customHeight="1" x14ac:dyDescent="0.45">
      <c r="F132" s="59">
        <v>6</v>
      </c>
      <c r="G132" s="57" t="str" cm="1">
        <f t="array" ref="G132:K132">IFERROR(VLOOKUP(GERENCIAMENTO!$D$28&amp;ROW(A6),'ATIVIDADES E APONTAMENTOS'!$A:$F,{2,3,4,5,6},0),"Não Executar")</f>
        <v>6 -  CARPETE / ASSOALHO    ( NOVO ? / MOLDADO ? / PORSCHE ?)</v>
      </c>
      <c r="H132" s="57">
        <v>0</v>
      </c>
      <c r="I132" s="57">
        <v>0</v>
      </c>
      <c r="J132" s="57" t="str">
        <v>Não Executar</v>
      </c>
      <c r="K132" s="57">
        <v>0</v>
      </c>
      <c r="L132" s="58">
        <f t="shared" si="2"/>
        <v>0</v>
      </c>
    </row>
    <row r="133" spans="6:12" ht="15" customHeight="1" x14ac:dyDescent="0.45">
      <c r="F133" s="59">
        <v>7</v>
      </c>
      <c r="G133" s="57" t="str" cm="1">
        <f t="array" ref="G133:K133">IFERROR(VLOOKUP(GERENCIAMENTO!$D$28&amp;ROW(A7),'ATIVIDADES E APONTAMENTOS'!$A:$F,{2,3,4,5,6},0),"Não Executar")</f>
        <v>6 -  CARPETE / ASSOALHO    ( NOVO ? / MOLDADO ? / PORSCHE ?)</v>
      </c>
      <c r="H133" s="57">
        <v>0</v>
      </c>
      <c r="I133" s="57">
        <v>0</v>
      </c>
      <c r="J133" s="57" t="str">
        <v>Não Executar</v>
      </c>
      <c r="K133" s="57">
        <v>0</v>
      </c>
      <c r="L133" s="58">
        <f t="shared" si="2"/>
        <v>0</v>
      </c>
    </row>
    <row r="134" spans="6:12" ht="15" customHeight="1" x14ac:dyDescent="0.45">
      <c r="F134" s="59">
        <v>8</v>
      </c>
      <c r="G134" s="57" t="str" cm="1">
        <f t="array" ref="G134:K134">IFERROR(VLOOKUP(GERENCIAMENTO!$D$28&amp;ROW(A8),'ATIVIDADES E APONTAMENTOS'!$A:$F,{2,3,4,5,6},0),"Não Executar")</f>
        <v>6 -  CARPETE / ASSOALHO    ( NOVO ? / MOLDADO ? / PORSCHE ?)</v>
      </c>
      <c r="H134" s="57">
        <v>0</v>
      </c>
      <c r="I134" s="57">
        <v>0</v>
      </c>
      <c r="J134" s="57" t="str">
        <v>Não Executar</v>
      </c>
      <c r="K134" s="57">
        <v>0</v>
      </c>
      <c r="L134" s="58">
        <f t="shared" si="2"/>
        <v>0</v>
      </c>
    </row>
    <row r="135" spans="6:12" ht="15" customHeight="1" x14ac:dyDescent="0.45">
      <c r="F135" s="59">
        <v>9</v>
      </c>
      <c r="G135" s="57" t="str" cm="1">
        <f t="array" ref="G135:K135">IFERROR(VLOOKUP(GERENCIAMENTO!$D$28&amp;ROW(A9),'ATIVIDADES E APONTAMENTOS'!$A:$F,{2,3,4,5,6},0),"Não Executar")</f>
        <v>6 -  CARPETE / ASSOALHO    ( NOVO ? / MOLDADO ? / PORSCHE ?)</v>
      </c>
      <c r="H135" s="57">
        <v>0</v>
      </c>
      <c r="I135" s="57">
        <v>0</v>
      </c>
      <c r="J135" s="57" t="str">
        <v>Não Executar</v>
      </c>
      <c r="K135" s="57">
        <v>0</v>
      </c>
      <c r="L135" s="58">
        <f t="shared" si="2"/>
        <v>0</v>
      </c>
    </row>
    <row r="136" spans="6:12" ht="15" customHeight="1" x14ac:dyDescent="0.45">
      <c r="F136" s="59">
        <v>10</v>
      </c>
      <c r="G136" s="57" t="str" cm="1">
        <f t="array" ref="G136">IFERROR(VLOOKUP(GERENCIAMENTO!$D$28&amp;ROW(A10),'ATIVIDADES E APONTAMENTOS'!$A:$F,{2,3,4,5,6},0),"Não Executar")</f>
        <v>Não Executar</v>
      </c>
      <c r="L136" s="58">
        <f t="shared" si="2"/>
        <v>0</v>
      </c>
    </row>
    <row r="137" spans="6:12" ht="15" customHeight="1" x14ac:dyDescent="0.45">
      <c r="F137" s="59">
        <v>11</v>
      </c>
      <c r="G137" s="57" t="str" cm="1">
        <f t="array" ref="G137">IFERROR(VLOOKUP(GERENCIAMENTO!$D$28&amp;ROW(A11),'ATIVIDADES E APONTAMENTOS'!$A:$F,{2,3,4,5,6},0),"Não Executar")</f>
        <v>Não Executar</v>
      </c>
      <c r="L137" s="58">
        <f t="shared" si="2"/>
        <v>0</v>
      </c>
    </row>
    <row r="138" spans="6:12" ht="15" customHeight="1" x14ac:dyDescent="0.45">
      <c r="F138" s="59">
        <v>12</v>
      </c>
      <c r="G138" s="57" t="str" cm="1">
        <f t="array" ref="G138">IFERROR(VLOOKUP(GERENCIAMENTO!$D$28&amp;ROW(A12),'ATIVIDADES E APONTAMENTOS'!$A:$F,{2,3,4,5,6},0),"Não Executar")</f>
        <v>Não Executar</v>
      </c>
      <c r="L138" s="58">
        <f t="shared" si="2"/>
        <v>0</v>
      </c>
    </row>
    <row r="139" spans="6:12" ht="15" customHeight="1" x14ac:dyDescent="0.45">
      <c r="F139" s="59">
        <v>13</v>
      </c>
      <c r="G139" s="57" t="str" cm="1">
        <f t="array" ref="G139">IFERROR(VLOOKUP(GERENCIAMENTO!$D$28&amp;ROW(A13),'ATIVIDADES E APONTAMENTOS'!$A:$F,{2,3,4,5,6},0),"Não Executar")</f>
        <v>Não Executar</v>
      </c>
      <c r="L139" s="58">
        <f t="shared" si="2"/>
        <v>0</v>
      </c>
    </row>
    <row r="140" spans="6:12" ht="15" customHeight="1" x14ac:dyDescent="0.45">
      <c r="F140" s="59">
        <v>14</v>
      </c>
      <c r="G140" s="57" t="str" cm="1">
        <f t="array" ref="G140">IFERROR(VLOOKUP(GERENCIAMENTO!$D$28&amp;ROW(A14),'ATIVIDADES E APONTAMENTOS'!$A:$F,{2,3,4,5,6},0),"Não Executar")</f>
        <v>Não Executar</v>
      </c>
      <c r="L140" s="58">
        <f t="shared" si="2"/>
        <v>0</v>
      </c>
    </row>
    <row r="141" spans="6:12" ht="15" customHeight="1" x14ac:dyDescent="0.45">
      <c r="F141" s="59">
        <v>15</v>
      </c>
      <c r="G141" s="57" t="str" cm="1">
        <f t="array" ref="G141">IFERROR(VLOOKUP(GERENCIAMENTO!$D$28&amp;ROW(A15),'ATIVIDADES E APONTAMENTOS'!$A:$F,{2,3,4,5,6},0),"Não Executar")</f>
        <v>Não Executar</v>
      </c>
      <c r="L141" s="58">
        <f t="shared" si="2"/>
        <v>0</v>
      </c>
    </row>
    <row r="142" spans="6:12" ht="15" customHeight="1" x14ac:dyDescent="0.45">
      <c r="F142" s="59">
        <v>16</v>
      </c>
      <c r="G142" s="57" t="str" cm="1">
        <f t="array" ref="G142">IFERROR(VLOOKUP(GERENCIAMENTO!$D$28&amp;ROW(A16),'ATIVIDADES E APONTAMENTOS'!$A:$F,{2,3,4,5,6},0),"Não Executar")</f>
        <v>Não Executar</v>
      </c>
      <c r="L142" s="58">
        <f t="shared" si="2"/>
        <v>0</v>
      </c>
    </row>
    <row r="143" spans="6:12" ht="15" customHeight="1" x14ac:dyDescent="0.45">
      <c r="F143" s="59">
        <v>17</v>
      </c>
      <c r="G143" s="57" t="str" cm="1">
        <f t="array" ref="G143">IFERROR(VLOOKUP(GERENCIAMENTO!$D$28&amp;ROW(A17),'ATIVIDADES E APONTAMENTOS'!$A:$F,{2,3,4,5,6},0),"Não Executar")</f>
        <v>Não Executar</v>
      </c>
      <c r="L143" s="58">
        <f t="shared" si="2"/>
        <v>0</v>
      </c>
    </row>
    <row r="144" spans="6:12" ht="15" customHeight="1" x14ac:dyDescent="0.45">
      <c r="F144" s="59">
        <v>18</v>
      </c>
      <c r="G144" s="57" t="str" cm="1">
        <f t="array" ref="G144">IFERROR(VLOOKUP(GERENCIAMENTO!$D$28&amp;ROW(A18),'ATIVIDADES E APONTAMENTOS'!$A:$F,{2,3,4,5,6},0),"Não Executar")</f>
        <v>Não Executar</v>
      </c>
      <c r="L144" s="58">
        <f t="shared" si="2"/>
        <v>0</v>
      </c>
    </row>
    <row r="145" spans="6:12" ht="15" customHeight="1" x14ac:dyDescent="0.45">
      <c r="F145" s="59">
        <v>19</v>
      </c>
      <c r="G145" s="57" t="str" cm="1">
        <f t="array" ref="G145">IFERROR(VLOOKUP(GERENCIAMENTO!$D$28&amp;ROW(A19),'ATIVIDADES E APONTAMENTOS'!$A:$F,{2,3,4,5,6},0),"Não Executar")</f>
        <v>Não Executar</v>
      </c>
      <c r="L145" s="58">
        <f t="shared" si="2"/>
        <v>0</v>
      </c>
    </row>
    <row r="146" spans="6:12" ht="15" customHeight="1" x14ac:dyDescent="0.45">
      <c r="F146" s="59">
        <v>20</v>
      </c>
      <c r="G146" s="57" t="str" cm="1">
        <f t="array" ref="G146">IFERROR(VLOOKUP(GERENCIAMENTO!$D$28&amp;ROW(A20),'ATIVIDADES E APONTAMENTOS'!$A:$F,{2,3,4,5,6},0),"Não Executar")</f>
        <v>Não Executar</v>
      </c>
      <c r="L146" s="58">
        <f t="shared" si="2"/>
        <v>0</v>
      </c>
    </row>
    <row r="147" spans="6:12" ht="15" customHeight="1" x14ac:dyDescent="0.45">
      <c r="F147" s="59">
        <v>21</v>
      </c>
      <c r="G147" s="57" t="str" cm="1">
        <f t="array" ref="G147">IFERROR(VLOOKUP(GERENCIAMENTO!$D$28&amp;ROW(A21),'ATIVIDADES E APONTAMENTOS'!$A:$F,{2,3,4,5,6},0),"Não Executar")</f>
        <v>Não Executar</v>
      </c>
      <c r="L147" s="58">
        <f t="shared" si="2"/>
        <v>0</v>
      </c>
    </row>
    <row r="148" spans="6:12" ht="15" customHeight="1" x14ac:dyDescent="0.45">
      <c r="F148" s="59">
        <v>22</v>
      </c>
      <c r="G148" s="57" t="str" cm="1">
        <f t="array" ref="G148">IFERROR(VLOOKUP(GERENCIAMENTO!$D$28&amp;ROW(A22),'ATIVIDADES E APONTAMENTOS'!$A:$F,{2,3,4,5,6},0),"Não Executar")</f>
        <v>Não Executar</v>
      </c>
      <c r="L148" s="58">
        <f t="shared" si="2"/>
        <v>0</v>
      </c>
    </row>
    <row r="149" spans="6:12" ht="15" customHeight="1" x14ac:dyDescent="0.45">
      <c r="F149" s="59">
        <v>23</v>
      </c>
      <c r="G149" s="57" t="str" cm="1">
        <f t="array" ref="G149">IFERROR(VLOOKUP(GERENCIAMENTO!$D$28&amp;ROW(A23),'ATIVIDADES E APONTAMENTOS'!$A:$F,{2,3,4,5,6},0),"Não Executar")</f>
        <v>Não Executar</v>
      </c>
      <c r="L149" s="58">
        <f t="shared" si="2"/>
        <v>0</v>
      </c>
    </row>
    <row r="150" spans="6:12" ht="15" customHeight="1" x14ac:dyDescent="0.45">
      <c r="F150" s="59">
        <v>24</v>
      </c>
      <c r="G150" s="57" t="str" cm="1">
        <f t="array" ref="G150">IFERROR(VLOOKUP(GERENCIAMENTO!$D$28&amp;ROW(A24),'ATIVIDADES E APONTAMENTOS'!$A:$F,{2,3,4,5,6},0),"Não Executar")</f>
        <v>Não Executar</v>
      </c>
      <c r="L150" s="58">
        <f t="shared" si="2"/>
        <v>0</v>
      </c>
    </row>
    <row r="151" spans="6:12" ht="15" customHeight="1" x14ac:dyDescent="0.45">
      <c r="F151" s="59">
        <v>25</v>
      </c>
      <c r="G151" s="57" t="str" cm="1">
        <f t="array" ref="G151">IFERROR(VLOOKUP(GERENCIAMENTO!$D$28&amp;ROW(A25),'ATIVIDADES E APONTAMENTOS'!$A:$F,{2,3,4,5,6},0),"Não Executar")</f>
        <v>Não Executar</v>
      </c>
      <c r="L151" s="58">
        <f t="shared" si="2"/>
        <v>0</v>
      </c>
    </row>
    <row r="152" spans="6:12" ht="15" customHeight="1" x14ac:dyDescent="0.45">
      <c r="F152" s="23">
        <v>1</v>
      </c>
      <c r="G152" s="57" t="str" cm="1">
        <f t="array" ref="G152:K152">IFERROR(VLOOKUP(GERENCIAMENTO!$D$29&amp;ROW(A1),'ATIVIDADES E APONTAMENTOS'!$A:$F,{2,3,4,5,6},0),"Não Executar")</f>
        <v>7 - CONSOLE CENTRAL + PEÇAS</v>
      </c>
      <c r="H152" s="57" t="str">
        <v>MONTAGEM</v>
      </c>
      <c r="I152" s="57" t="str">
        <v xml:space="preserve">instalação de console + prolongador </v>
      </c>
      <c r="J152" s="57" t="str">
        <v>Arthur</v>
      </c>
      <c r="K152" s="57">
        <v>10</v>
      </c>
      <c r="L152" s="58">
        <f t="shared" si="2"/>
        <v>0.16666666666666666</v>
      </c>
    </row>
    <row r="153" spans="6:12" ht="15" customHeight="1" x14ac:dyDescent="0.45">
      <c r="F153" s="23">
        <v>2</v>
      </c>
      <c r="G153" s="57" t="str" cm="1">
        <f t="array" ref="G153:K153">IFERROR(VLOOKUP(GERENCIAMENTO!$D$29&amp;ROW(A2),'ATIVIDADES E APONTAMENTOS'!$A:$F,{2,3,4,5,6},0),"Não Executar")</f>
        <v>7 - CONSOLE CENTRAL + PEÇAS</v>
      </c>
      <c r="H153" s="57" t="str">
        <v>MONTAGEM</v>
      </c>
      <c r="I153" s="57" t="str">
        <v>instalação do acabamento do freio de mão</v>
      </c>
      <c r="J153" s="57" t="str">
        <v>Arthur</v>
      </c>
      <c r="K153" s="57">
        <v>0</v>
      </c>
      <c r="L153" s="58">
        <f t="shared" si="2"/>
        <v>0</v>
      </c>
    </row>
    <row r="154" spans="6:12" ht="15" customHeight="1" x14ac:dyDescent="0.45">
      <c r="F154" s="23">
        <v>3</v>
      </c>
      <c r="G154" s="57" t="str" cm="1">
        <f t="array" ref="G154:K154">IFERROR(VLOOKUP(GERENCIAMENTO!$D$29&amp;ROW(A3),'ATIVIDADES E APONTAMENTOS'!$A:$F,{2,3,4,5,6},0),"Não Executar")</f>
        <v>7 - CONSOLE CENTRAL + PEÇAS</v>
      </c>
      <c r="H154" s="57" t="str">
        <v>MONTAGEM</v>
      </c>
      <c r="I154" s="57" t="str">
        <v>instalação na manopla de cambio BRV</v>
      </c>
      <c r="J154" s="57" t="str">
        <v>Arthur</v>
      </c>
      <c r="K154" s="57">
        <v>10</v>
      </c>
      <c r="L154" s="58">
        <f t="shared" si="2"/>
        <v>0.16666666666666666</v>
      </c>
    </row>
    <row r="155" spans="6:12" ht="15" customHeight="1" x14ac:dyDescent="0.45">
      <c r="F155" s="23">
        <v>4</v>
      </c>
      <c r="G155" s="57" t="str" cm="1">
        <f t="array" ref="G155:K155">IFERROR(VLOOKUP(GERENCIAMENTO!$D$29&amp;ROW(A4),'ATIVIDADES E APONTAMENTOS'!$A:$F,{2,3,4,5,6},0),"Não Executar")</f>
        <v>7 - CONSOLE CENTRAL + PEÇAS</v>
      </c>
      <c r="H155" s="57">
        <v>0</v>
      </c>
      <c r="I155" s="57">
        <v>0</v>
      </c>
      <c r="J155" s="57" t="str">
        <v>Não Executar</v>
      </c>
      <c r="K155" s="57">
        <v>0</v>
      </c>
      <c r="L155" s="58">
        <f t="shared" si="2"/>
        <v>0</v>
      </c>
    </row>
    <row r="156" spans="6:12" ht="15" customHeight="1" x14ac:dyDescent="0.45">
      <c r="F156" s="23">
        <v>5</v>
      </c>
      <c r="G156" s="57" t="str" cm="1">
        <f t="array" ref="G156:K156">IFERROR(VLOOKUP(GERENCIAMENTO!$D$29&amp;ROW(A5),'ATIVIDADES E APONTAMENTOS'!$A:$F,{2,3,4,5,6},0),"Não Executar")</f>
        <v>7 - CONSOLE CENTRAL + PEÇAS</v>
      </c>
      <c r="H156" s="57">
        <v>0</v>
      </c>
      <c r="I156" s="57">
        <v>0</v>
      </c>
      <c r="J156" s="57" t="str">
        <v>Não Executar</v>
      </c>
      <c r="K156" s="57">
        <v>0</v>
      </c>
      <c r="L156" s="58">
        <f t="shared" si="2"/>
        <v>0</v>
      </c>
    </row>
    <row r="157" spans="6:12" ht="15" customHeight="1" x14ac:dyDescent="0.45">
      <c r="F157" s="23">
        <v>6</v>
      </c>
      <c r="G157" s="57" t="str" cm="1">
        <f t="array" ref="G157:K157">IFERROR(VLOOKUP(GERENCIAMENTO!$D$29&amp;ROW(A6),'ATIVIDADES E APONTAMENTOS'!$A:$F,{2,3,4,5,6},0),"Não Executar")</f>
        <v>7 - CONSOLE CENTRAL + PEÇAS</v>
      </c>
      <c r="H157" s="57">
        <v>0</v>
      </c>
      <c r="I157" s="57">
        <v>0</v>
      </c>
      <c r="J157" s="57" t="str">
        <v>Não Executar</v>
      </c>
      <c r="K157" s="57">
        <v>0</v>
      </c>
      <c r="L157" s="58">
        <f t="shared" si="2"/>
        <v>0</v>
      </c>
    </row>
    <row r="158" spans="6:12" ht="15" customHeight="1" x14ac:dyDescent="0.45">
      <c r="F158" s="23">
        <v>7</v>
      </c>
      <c r="G158" s="57" t="str" cm="1">
        <f t="array" ref="G158:K158">IFERROR(VLOOKUP(GERENCIAMENTO!$D$29&amp;ROW(A7),'ATIVIDADES E APONTAMENTOS'!$A:$F,{2,3,4,5,6},0),"Não Executar")</f>
        <v>7 - CONSOLE CENTRAL + PEÇAS</v>
      </c>
      <c r="H158" s="57">
        <v>0</v>
      </c>
      <c r="I158" s="57">
        <v>0</v>
      </c>
      <c r="J158" s="57" t="str">
        <v>Não Executar</v>
      </c>
      <c r="K158" s="57">
        <v>0</v>
      </c>
      <c r="L158" s="58">
        <f t="shared" si="2"/>
        <v>0</v>
      </c>
    </row>
    <row r="159" spans="6:12" ht="15" customHeight="1" x14ac:dyDescent="0.45">
      <c r="F159" s="23">
        <v>8</v>
      </c>
      <c r="G159" s="57" t="str" cm="1">
        <f t="array" ref="G159:K159">IFERROR(VLOOKUP(GERENCIAMENTO!$D$29&amp;ROW(A8),'ATIVIDADES E APONTAMENTOS'!$A:$F,{2,3,4,5,6},0),"Não Executar")</f>
        <v>7 - CONSOLE CENTRAL + PEÇAS</v>
      </c>
      <c r="H159" s="57">
        <v>0</v>
      </c>
      <c r="I159" s="57">
        <v>0</v>
      </c>
      <c r="J159" s="57" t="str">
        <v>Não Executar</v>
      </c>
      <c r="K159" s="57">
        <v>0</v>
      </c>
      <c r="L159" s="58">
        <f t="shared" si="2"/>
        <v>0</v>
      </c>
    </row>
    <row r="160" spans="6:12" ht="15" customHeight="1" x14ac:dyDescent="0.45">
      <c r="F160" s="23">
        <v>9</v>
      </c>
      <c r="G160" s="57" t="str" cm="1">
        <f t="array" ref="G160:K160">IFERROR(VLOOKUP(GERENCIAMENTO!$D$29&amp;ROW(A9),'ATIVIDADES E APONTAMENTOS'!$A:$F,{2,3,4,5,6},0),"Não Executar")</f>
        <v>7 - CONSOLE CENTRAL + PEÇAS</v>
      </c>
      <c r="H160" s="57">
        <v>0</v>
      </c>
      <c r="I160" s="57">
        <v>0</v>
      </c>
      <c r="J160" s="57" t="str">
        <v>Não Executar</v>
      </c>
      <c r="K160" s="57">
        <v>0</v>
      </c>
      <c r="L160" s="58">
        <f t="shared" si="2"/>
        <v>0</v>
      </c>
    </row>
    <row r="161" spans="6:12" ht="15" customHeight="1" x14ac:dyDescent="0.45">
      <c r="F161" s="23">
        <v>10</v>
      </c>
      <c r="G161" s="57" t="str" cm="1">
        <f t="array" ref="G161">IFERROR(VLOOKUP(GERENCIAMENTO!$D$29&amp;ROW(A10),'ATIVIDADES E APONTAMENTOS'!$A:$F,{2,3,4,5,6},0),"Não Executar")</f>
        <v>Não Executar</v>
      </c>
      <c r="L161" s="58">
        <f t="shared" si="2"/>
        <v>0</v>
      </c>
    </row>
    <row r="162" spans="6:12" ht="15" customHeight="1" x14ac:dyDescent="0.45">
      <c r="F162" s="23">
        <v>11</v>
      </c>
      <c r="G162" s="57" t="str" cm="1">
        <f t="array" ref="G162">IFERROR(VLOOKUP(GERENCIAMENTO!$D$29&amp;ROW(A11),'ATIVIDADES E APONTAMENTOS'!$A:$F,{2,3,4,5,6},0),"Não Executar")</f>
        <v>Não Executar</v>
      </c>
      <c r="L162" s="58">
        <f t="shared" si="2"/>
        <v>0</v>
      </c>
    </row>
    <row r="163" spans="6:12" ht="15" customHeight="1" x14ac:dyDescent="0.45">
      <c r="F163" s="23">
        <v>12</v>
      </c>
      <c r="G163" s="57" t="str" cm="1">
        <f t="array" ref="G163">IFERROR(VLOOKUP(GERENCIAMENTO!$D$29&amp;ROW(A12),'ATIVIDADES E APONTAMENTOS'!$A:$F,{2,3,4,5,6},0),"Não Executar")</f>
        <v>Não Executar</v>
      </c>
      <c r="L163" s="58">
        <f t="shared" si="2"/>
        <v>0</v>
      </c>
    </row>
    <row r="164" spans="6:12" ht="15" customHeight="1" x14ac:dyDescent="0.45">
      <c r="F164" s="23">
        <v>13</v>
      </c>
      <c r="G164" s="57" t="str" cm="1">
        <f t="array" ref="G164">IFERROR(VLOOKUP(GERENCIAMENTO!$D$29&amp;ROW(A13),'ATIVIDADES E APONTAMENTOS'!$A:$F,{2,3,4,5,6},0),"Não Executar")</f>
        <v>Não Executar</v>
      </c>
      <c r="L164" s="58">
        <f t="shared" si="2"/>
        <v>0</v>
      </c>
    </row>
    <row r="165" spans="6:12" ht="15" customHeight="1" x14ac:dyDescent="0.45">
      <c r="F165" s="23">
        <v>14</v>
      </c>
      <c r="G165" s="57" t="str" cm="1">
        <f t="array" ref="G165">IFERROR(VLOOKUP(GERENCIAMENTO!$D$29&amp;ROW(A14),'ATIVIDADES E APONTAMENTOS'!$A:$F,{2,3,4,5,6},0),"Não Executar")</f>
        <v>Não Executar</v>
      </c>
      <c r="L165" s="58">
        <f t="shared" si="2"/>
        <v>0</v>
      </c>
    </row>
    <row r="166" spans="6:12" ht="15" customHeight="1" x14ac:dyDescent="0.45">
      <c r="F166" s="23">
        <v>15</v>
      </c>
      <c r="G166" s="57" t="str" cm="1">
        <f t="array" ref="G166">IFERROR(VLOOKUP(GERENCIAMENTO!$D$29&amp;ROW(A15),'ATIVIDADES E APONTAMENTOS'!$A:$F,{2,3,4,5,6},0),"Não Executar")</f>
        <v>Não Executar</v>
      </c>
      <c r="L166" s="58">
        <f t="shared" si="2"/>
        <v>0</v>
      </c>
    </row>
    <row r="167" spans="6:12" ht="15" customHeight="1" x14ac:dyDescent="0.45">
      <c r="F167" s="23">
        <v>16</v>
      </c>
      <c r="G167" s="57" t="str" cm="1">
        <f t="array" ref="G167">IFERROR(VLOOKUP(GERENCIAMENTO!$D$29&amp;ROW(A16),'ATIVIDADES E APONTAMENTOS'!$A:$F,{2,3,4,5,6},0),"Não Executar")</f>
        <v>Não Executar</v>
      </c>
      <c r="L167" s="58">
        <f t="shared" si="2"/>
        <v>0</v>
      </c>
    </row>
    <row r="168" spans="6:12" ht="15" customHeight="1" x14ac:dyDescent="0.45">
      <c r="F168" s="23">
        <v>17</v>
      </c>
      <c r="G168" s="57" t="str" cm="1">
        <f t="array" ref="G168">IFERROR(VLOOKUP(GERENCIAMENTO!$D$29&amp;ROW(A17),'ATIVIDADES E APONTAMENTOS'!$A:$F,{2,3,4,5,6},0),"Não Executar")</f>
        <v>Não Executar</v>
      </c>
      <c r="L168" s="58">
        <f t="shared" si="2"/>
        <v>0</v>
      </c>
    </row>
    <row r="169" spans="6:12" ht="15" customHeight="1" x14ac:dyDescent="0.45">
      <c r="F169" s="23">
        <v>18</v>
      </c>
      <c r="G169" s="57" t="str" cm="1">
        <f t="array" ref="G169">IFERROR(VLOOKUP(GERENCIAMENTO!$D$29&amp;ROW(A18),'ATIVIDADES E APONTAMENTOS'!$A:$F,{2,3,4,5,6},0),"Não Executar")</f>
        <v>Não Executar</v>
      </c>
      <c r="L169" s="58">
        <f t="shared" si="2"/>
        <v>0</v>
      </c>
    </row>
    <row r="170" spans="6:12" ht="15" customHeight="1" x14ac:dyDescent="0.45">
      <c r="F170" s="23">
        <v>19</v>
      </c>
      <c r="G170" s="57" t="str" cm="1">
        <f t="array" ref="G170">IFERROR(VLOOKUP(GERENCIAMENTO!$D$29&amp;ROW(A19),'ATIVIDADES E APONTAMENTOS'!$A:$F,{2,3,4,5,6},0),"Não Executar")</f>
        <v>Não Executar</v>
      </c>
      <c r="L170" s="58">
        <f t="shared" si="2"/>
        <v>0</v>
      </c>
    </row>
    <row r="171" spans="6:12" ht="15" customHeight="1" x14ac:dyDescent="0.45">
      <c r="F171" s="23">
        <v>20</v>
      </c>
      <c r="G171" s="57" t="str" cm="1">
        <f t="array" ref="G171">IFERROR(VLOOKUP(GERENCIAMENTO!$D$29&amp;ROW(A20),'ATIVIDADES E APONTAMENTOS'!$A:$F,{2,3,4,5,6},0),"Não Executar")</f>
        <v>Não Executar</v>
      </c>
      <c r="L171" s="58">
        <f t="shared" si="2"/>
        <v>0</v>
      </c>
    </row>
    <row r="172" spans="6:12" ht="15" customHeight="1" x14ac:dyDescent="0.45">
      <c r="F172" s="23">
        <v>21</v>
      </c>
      <c r="G172" s="57" t="str" cm="1">
        <f t="array" ref="G172">IFERROR(VLOOKUP(GERENCIAMENTO!$D$29&amp;ROW(A21),'ATIVIDADES E APONTAMENTOS'!$A:$F,{2,3,4,5,6},0),"Não Executar")</f>
        <v>Não Executar</v>
      </c>
      <c r="L172" s="58">
        <f t="shared" si="2"/>
        <v>0</v>
      </c>
    </row>
    <row r="173" spans="6:12" ht="15" customHeight="1" x14ac:dyDescent="0.45">
      <c r="F173" s="23">
        <v>22</v>
      </c>
      <c r="G173" s="57" t="str" cm="1">
        <f t="array" ref="G173">IFERROR(VLOOKUP(GERENCIAMENTO!$D$29&amp;ROW(A22),'ATIVIDADES E APONTAMENTOS'!$A:$F,{2,3,4,5,6},0),"Não Executar")</f>
        <v>Não Executar</v>
      </c>
      <c r="L173" s="58">
        <f t="shared" si="2"/>
        <v>0</v>
      </c>
    </row>
    <row r="174" spans="6:12" ht="15" customHeight="1" x14ac:dyDescent="0.45">
      <c r="F174" s="23">
        <v>23</v>
      </c>
      <c r="G174" s="57" t="str" cm="1">
        <f t="array" ref="G174">IFERROR(VLOOKUP(GERENCIAMENTO!$D$29&amp;ROW(A23),'ATIVIDADES E APONTAMENTOS'!$A:$F,{2,3,4,5,6},0),"Não Executar")</f>
        <v>Não Executar</v>
      </c>
      <c r="L174" s="58">
        <f t="shared" si="2"/>
        <v>0</v>
      </c>
    </row>
    <row r="175" spans="6:12" ht="15" customHeight="1" x14ac:dyDescent="0.45">
      <c r="F175" s="23">
        <v>24</v>
      </c>
      <c r="G175" s="57" t="str" cm="1">
        <f t="array" ref="G175">IFERROR(VLOOKUP(GERENCIAMENTO!$D$29&amp;ROW(A24),'ATIVIDADES E APONTAMENTOS'!$A:$F,{2,3,4,5,6},0),"Não Executar")</f>
        <v>Não Executar</v>
      </c>
      <c r="L175" s="58">
        <f t="shared" si="2"/>
        <v>0</v>
      </c>
    </row>
    <row r="176" spans="6:12" ht="15" customHeight="1" x14ac:dyDescent="0.45">
      <c r="F176" s="23">
        <v>25</v>
      </c>
      <c r="G176" s="57" t="str" cm="1">
        <f t="array" ref="G176">IFERROR(VLOOKUP(GERENCIAMENTO!$D$29&amp;ROW(A25),'ATIVIDADES E APONTAMENTOS'!$A:$F,{2,3,4,5,6},0),"Não Executar")</f>
        <v>Não Executar</v>
      </c>
      <c r="L176" s="58">
        <f t="shared" si="2"/>
        <v>0</v>
      </c>
    </row>
    <row r="177" spans="6:12" ht="15" customHeight="1" x14ac:dyDescent="0.45">
      <c r="F177" s="59">
        <v>1</v>
      </c>
      <c r="G177" s="57" t="str" cm="1">
        <f t="array" ref="G177:K177">IFERROR(VLOOKUP(GERENCIAMENTO!$D$30&amp;ROW(A1),'ATIVIDADES E APONTAMENTOS'!$A:$F,{2,3,4,5,6},0),"Não Executar")</f>
        <v>8 - PORTA MALAS</v>
      </c>
      <c r="H177" s="57" t="str">
        <v>CORTE</v>
      </c>
      <c r="I177" s="57" t="str">
        <v>Cortar carpete do fundo do porta malas</v>
      </c>
      <c r="J177" s="57" t="str">
        <v>Rita</v>
      </c>
      <c r="K177" s="57">
        <v>20</v>
      </c>
      <c r="L177" s="58">
        <f t="shared" si="2"/>
        <v>0.33333333333333331</v>
      </c>
    </row>
    <row r="178" spans="6:12" ht="15" customHeight="1" x14ac:dyDescent="0.45">
      <c r="F178" s="59">
        <v>2</v>
      </c>
      <c r="G178" s="57" t="str" cm="1">
        <f t="array" ref="G178:K178">IFERROR(VLOOKUP(GERENCIAMENTO!$D$30&amp;ROW(A2),'ATIVIDADES E APONTAMENTOS'!$A:$F,{2,3,4,5,6},0),"Não Executar")</f>
        <v>8 - PORTA MALAS</v>
      </c>
      <c r="H178" s="57" t="str">
        <v>CORTE</v>
      </c>
      <c r="I178" s="57" t="str">
        <v>Cortar carpete da caixa de roda</v>
      </c>
      <c r="J178" s="57" t="str">
        <v>Rita</v>
      </c>
      <c r="K178" s="57">
        <v>10</v>
      </c>
      <c r="L178" s="58">
        <f t="shared" si="2"/>
        <v>0.16666666666666666</v>
      </c>
    </row>
    <row r="179" spans="6:12" ht="15" customHeight="1" x14ac:dyDescent="0.45">
      <c r="F179" s="59">
        <v>3</v>
      </c>
      <c r="G179" s="57" t="str" cm="1">
        <f t="array" ref="G179:K179">IFERROR(VLOOKUP(GERENCIAMENTO!$D$30&amp;ROW(A3),'ATIVIDADES E APONTAMENTOS'!$A:$F,{2,3,4,5,6},0),"Não Executar")</f>
        <v>8 - PORTA MALAS</v>
      </c>
      <c r="H179" s="57" t="str">
        <v>COLAGEM</v>
      </c>
      <c r="I179" s="57" t="str">
        <v>Aplicar cola para adesão no assoalho do porta malas e caixas de rodas e lateral do tampão</v>
      </c>
      <c r="J179" s="57" t="str">
        <v>Gabriel</v>
      </c>
      <c r="K179" s="57">
        <v>30</v>
      </c>
      <c r="L179" s="58">
        <f t="shared" si="2"/>
        <v>0.5</v>
      </c>
    </row>
    <row r="180" spans="6:12" ht="15" customHeight="1" x14ac:dyDescent="0.45">
      <c r="F180" s="59">
        <v>4</v>
      </c>
      <c r="G180" s="57" t="str" cm="1">
        <f t="array" ref="G180:K180">IFERROR(VLOOKUP(GERENCIAMENTO!$D$30&amp;ROW(A4),'ATIVIDADES E APONTAMENTOS'!$A:$F,{2,3,4,5,6},0),"Não Executar")</f>
        <v>8 - PORTA MALAS</v>
      </c>
      <c r="H180" s="57" t="str">
        <v>COLAGEM</v>
      </c>
      <c r="I180" s="57" t="str">
        <v xml:space="preserve"> Colar  carpete da lateral do tampao</v>
      </c>
      <c r="J180" s="57" t="str">
        <v>Gabriel</v>
      </c>
      <c r="K180" s="57">
        <v>10</v>
      </c>
      <c r="L180" s="58">
        <f t="shared" si="2"/>
        <v>0.16666666666666666</v>
      </c>
    </row>
    <row r="181" spans="6:12" ht="15" customHeight="1" x14ac:dyDescent="0.45">
      <c r="F181" s="59">
        <v>5</v>
      </c>
      <c r="G181" s="57" t="str" cm="1">
        <f t="array" ref="G181:K181">IFERROR(VLOOKUP(GERENCIAMENTO!$D$30&amp;ROW(A5),'ATIVIDADES E APONTAMENTOS'!$A:$F,{2,3,4,5,6},0),"Não Executar")</f>
        <v>8 - PORTA MALAS</v>
      </c>
      <c r="H181" s="57" t="str">
        <v>MODELAGEM</v>
      </c>
      <c r="I181" s="57" t="str">
        <v>Modelar carpete nas caixas de rodas</v>
      </c>
      <c r="J181" s="57" t="str">
        <v>Arthur</v>
      </c>
      <c r="K181" s="57">
        <v>50</v>
      </c>
      <c r="L181" s="58">
        <f t="shared" si="2"/>
        <v>0.83333333333333337</v>
      </c>
    </row>
    <row r="182" spans="6:12" ht="15" customHeight="1" x14ac:dyDescent="0.45">
      <c r="F182" s="59">
        <v>6</v>
      </c>
      <c r="G182" s="57" t="str" cm="1">
        <f t="array" ref="G182:K182">IFERROR(VLOOKUP(GERENCIAMENTO!$D$30&amp;ROW(A6),'ATIVIDADES E APONTAMENTOS'!$A:$F,{2,3,4,5,6},0),"Não Executar")</f>
        <v>8 - PORTA MALAS</v>
      </c>
      <c r="H182" s="57" t="str">
        <v>MODELAGEM</v>
      </c>
      <c r="I182" s="57" t="str">
        <v>Modelar carpete do fundo do porta malas</v>
      </c>
      <c r="J182" s="57" t="str">
        <v>Arthur</v>
      </c>
      <c r="K182" s="57">
        <v>50</v>
      </c>
      <c r="L182" s="58">
        <f t="shared" si="2"/>
        <v>0.83333333333333337</v>
      </c>
    </row>
    <row r="183" spans="6:12" ht="15" customHeight="1" x14ac:dyDescent="0.45">
      <c r="F183" s="59">
        <v>7</v>
      </c>
      <c r="G183" s="57" t="str" cm="1">
        <f t="array" ref="G183:K183">IFERROR(VLOOKUP(GERENCIAMENTO!$D$30&amp;ROW(A7),'ATIVIDADES E APONTAMENTOS'!$A:$F,{2,3,4,5,6},0),"Não Executar")</f>
        <v>8 - PORTA MALAS</v>
      </c>
      <c r="H183" s="57" t="str">
        <v>PRÉ-MONTAGEM</v>
      </c>
      <c r="I183" s="57" t="str">
        <v>Instalar kit de lateral do porta malas BRV</v>
      </c>
      <c r="J183" s="57" t="str">
        <v>Kadu</v>
      </c>
      <c r="K183" s="57">
        <v>5</v>
      </c>
      <c r="L183" s="58">
        <f t="shared" si="2"/>
        <v>8.3333333333333329E-2</v>
      </c>
    </row>
    <row r="184" spans="6:12" ht="15" customHeight="1" x14ac:dyDescent="0.45">
      <c r="F184" s="59">
        <v>8</v>
      </c>
      <c r="G184" s="57" t="str" cm="1">
        <f t="array" ref="G184:K184">IFERROR(VLOOKUP(GERENCIAMENTO!$D$30&amp;ROW(A8),'ATIVIDADES E APONTAMENTOS'!$A:$F,{2,3,4,5,6},0),"Não Executar")</f>
        <v>8 - PORTA MALAS</v>
      </c>
      <c r="H184" s="57" t="str">
        <v>MODELAGEM</v>
      </c>
      <c r="I184" s="57" t="str">
        <v>Instatalação da capa de macaco e triângulo (cor)</v>
      </c>
      <c r="J184" s="57" t="str">
        <v>Arthur</v>
      </c>
      <c r="K184" s="57">
        <v>5</v>
      </c>
      <c r="L184" s="58">
        <f t="shared" si="2"/>
        <v>8.3333333333333329E-2</v>
      </c>
    </row>
    <row r="185" spans="6:12" ht="15" customHeight="1" x14ac:dyDescent="0.45">
      <c r="F185" s="59">
        <v>9</v>
      </c>
      <c r="G185" s="57" t="str" cm="1">
        <f t="array" ref="G185:K185">IFERROR(VLOOKUP(GERENCIAMENTO!$D$30&amp;ROW(A9),'ATIVIDADES E APONTAMENTOS'!$A:$F,{2,3,4,5,6},0),"Não Executar")</f>
        <v>8 - PORTA MALAS</v>
      </c>
      <c r="H185" s="57" t="str">
        <v>MODELAGEM</v>
      </c>
      <c r="I185" s="57" t="str">
        <v>insalação da capa de estepe (cor?)</v>
      </c>
      <c r="J185" s="57" t="str">
        <v>Arthur</v>
      </c>
      <c r="K185" s="57">
        <v>5</v>
      </c>
      <c r="L185" s="58">
        <f t="shared" si="2"/>
        <v>8.3333333333333329E-2</v>
      </c>
    </row>
    <row r="186" spans="6:12" ht="15" customHeight="1" x14ac:dyDescent="0.45">
      <c r="F186" s="59">
        <v>10</v>
      </c>
      <c r="G186" s="57" t="str" cm="1">
        <f t="array" ref="G186:K186">IFERROR(VLOOKUP(GERENCIAMENTO!$D$30&amp;ROW(A10),'ATIVIDADES E APONTAMENTOS'!$A:$F,{2,3,4,5,6},0),"Não Executar")</f>
        <v>8 - PORTA MALAS</v>
      </c>
      <c r="H186" s="57">
        <v>0</v>
      </c>
      <c r="I186" s="57">
        <v>0</v>
      </c>
      <c r="J186" s="57" t="str">
        <v>Não Executar</v>
      </c>
      <c r="K186" s="57">
        <v>0</v>
      </c>
      <c r="L186" s="58">
        <f t="shared" si="2"/>
        <v>0</v>
      </c>
    </row>
    <row r="187" spans="6:12" ht="15" customHeight="1" x14ac:dyDescent="0.45">
      <c r="F187" s="59">
        <v>11</v>
      </c>
      <c r="G187" s="57" t="str" cm="1">
        <f t="array" ref="G187:K187">IFERROR(VLOOKUP(GERENCIAMENTO!$D$30&amp;ROW(A11),'ATIVIDADES E APONTAMENTOS'!$A:$F,{2,3,4,5,6},0),"Não Executar")</f>
        <v>8 - PORTA MALAS</v>
      </c>
      <c r="H187" s="57">
        <v>0</v>
      </c>
      <c r="I187" s="57">
        <v>0</v>
      </c>
      <c r="J187" s="57" t="str">
        <v>Não Executar</v>
      </c>
      <c r="K187" s="57">
        <v>0</v>
      </c>
      <c r="L187" s="58">
        <f t="shared" si="2"/>
        <v>0</v>
      </c>
    </row>
    <row r="188" spans="6:12" ht="15" customHeight="1" x14ac:dyDescent="0.45">
      <c r="F188" s="59">
        <v>12</v>
      </c>
      <c r="G188" s="57" t="str" cm="1">
        <f t="array" ref="G188:K188">IFERROR(VLOOKUP(GERENCIAMENTO!$D$30&amp;ROW(A12),'ATIVIDADES E APONTAMENTOS'!$A:$F,{2,3,4,5,6},0),"Não Executar")</f>
        <v>8 - PORTA MALAS</v>
      </c>
      <c r="H188" s="57">
        <v>0</v>
      </c>
      <c r="I188" s="57">
        <v>0</v>
      </c>
      <c r="J188" s="57" t="str">
        <v>Não Executar</v>
      </c>
      <c r="K188" s="57">
        <v>0</v>
      </c>
      <c r="L188" s="58">
        <f t="shared" si="2"/>
        <v>0</v>
      </c>
    </row>
    <row r="189" spans="6:12" ht="15" customHeight="1" x14ac:dyDescent="0.45">
      <c r="F189" s="59">
        <v>13</v>
      </c>
      <c r="G189" s="57" t="str" cm="1">
        <f t="array" ref="G189:K189">IFERROR(VLOOKUP(GERENCIAMENTO!$D$30&amp;ROW(A13),'ATIVIDADES E APONTAMENTOS'!$A:$F,{2,3,4,5,6},0),"Não Executar")</f>
        <v>8 - PORTA MALAS</v>
      </c>
      <c r="H189" s="57">
        <v>0</v>
      </c>
      <c r="I189" s="57">
        <v>0</v>
      </c>
      <c r="J189" s="57" t="str">
        <v>Não Executar</v>
      </c>
      <c r="K189" s="57">
        <v>0</v>
      </c>
      <c r="L189" s="58">
        <f t="shared" si="2"/>
        <v>0</v>
      </c>
    </row>
    <row r="190" spans="6:12" ht="15" customHeight="1" x14ac:dyDescent="0.45">
      <c r="F190" s="59">
        <v>14</v>
      </c>
      <c r="G190" s="57" t="str" cm="1">
        <f t="array" ref="G190:K190">IFERROR(VLOOKUP(GERENCIAMENTO!$D$30&amp;ROW(A14),'ATIVIDADES E APONTAMENTOS'!$A:$F,{2,3,4,5,6},0),"Não Executar")</f>
        <v>8 - PORTA MALAS</v>
      </c>
      <c r="H190" s="57">
        <v>0</v>
      </c>
      <c r="I190" s="57">
        <v>0</v>
      </c>
      <c r="J190" s="57" t="str">
        <v>Não Executar</v>
      </c>
      <c r="K190" s="57">
        <v>0</v>
      </c>
      <c r="L190" s="58">
        <f t="shared" si="2"/>
        <v>0</v>
      </c>
    </row>
    <row r="191" spans="6:12" ht="15" customHeight="1" x14ac:dyDescent="0.45">
      <c r="F191" s="59">
        <v>15</v>
      </c>
      <c r="G191" s="57" t="str" cm="1">
        <f t="array" ref="G191:K191">IFERROR(VLOOKUP(GERENCIAMENTO!$D$30&amp;ROW(A15),'ATIVIDADES E APONTAMENTOS'!$A:$F,{2,3,4,5,6},0),"Não Executar")</f>
        <v>8 - PORTA MALAS</v>
      </c>
      <c r="H191" s="57">
        <v>0</v>
      </c>
      <c r="I191" s="57">
        <v>0</v>
      </c>
      <c r="J191" s="57" t="str">
        <v>Não Executar</v>
      </c>
      <c r="K191" s="57">
        <v>0</v>
      </c>
      <c r="L191" s="58">
        <f t="shared" si="2"/>
        <v>0</v>
      </c>
    </row>
    <row r="192" spans="6:12" ht="15" customHeight="1" x14ac:dyDescent="0.45">
      <c r="F192" s="59">
        <v>16</v>
      </c>
      <c r="G192" s="57" t="str" cm="1">
        <f t="array" ref="G192">IFERROR(VLOOKUP(GERENCIAMENTO!$D$30&amp;ROW(A16),'ATIVIDADES E APONTAMENTOS'!$A:$F,{2,3,4,5,6},0),"Não Executar")</f>
        <v>Não Executar</v>
      </c>
      <c r="L192" s="58">
        <f t="shared" si="2"/>
        <v>0</v>
      </c>
    </row>
    <row r="193" spans="6:12" ht="15" customHeight="1" x14ac:dyDescent="0.45">
      <c r="F193" s="59">
        <v>17</v>
      </c>
      <c r="G193" s="57" t="str" cm="1">
        <f t="array" ref="G193">IFERROR(VLOOKUP(GERENCIAMENTO!$D$30&amp;ROW(A17),'ATIVIDADES E APONTAMENTOS'!$A:$F,{2,3,4,5,6},0),"Não Executar")</f>
        <v>Não Executar</v>
      </c>
      <c r="L193" s="58">
        <f t="shared" si="2"/>
        <v>0</v>
      </c>
    </row>
    <row r="194" spans="6:12" ht="15" customHeight="1" x14ac:dyDescent="0.45">
      <c r="F194" s="59">
        <v>18</v>
      </c>
      <c r="G194" s="57" t="str" cm="1">
        <f t="array" ref="G194">IFERROR(VLOOKUP(GERENCIAMENTO!$D$30&amp;ROW(A18),'ATIVIDADES E APONTAMENTOS'!$A:$F,{2,3,4,5,6},0),"Não Executar")</f>
        <v>Não Executar</v>
      </c>
      <c r="L194" s="58">
        <f t="shared" si="2"/>
        <v>0</v>
      </c>
    </row>
    <row r="195" spans="6:12" ht="15" customHeight="1" x14ac:dyDescent="0.45">
      <c r="F195" s="59">
        <v>19</v>
      </c>
      <c r="G195" s="57" t="str" cm="1">
        <f t="array" ref="G195">IFERROR(VLOOKUP(GERENCIAMENTO!$D$30&amp;ROW(A19),'ATIVIDADES E APONTAMENTOS'!$A:$F,{2,3,4,5,6},0),"Não Executar")</f>
        <v>Não Executar</v>
      </c>
      <c r="L195" s="58">
        <f t="shared" ref="L195:L258" si="3">K195/60</f>
        <v>0</v>
      </c>
    </row>
    <row r="196" spans="6:12" ht="15" customHeight="1" x14ac:dyDescent="0.45">
      <c r="F196" s="59">
        <v>20</v>
      </c>
      <c r="G196" s="57" t="str" cm="1">
        <f t="array" ref="G196">IFERROR(VLOOKUP(GERENCIAMENTO!$D$30&amp;ROW(A20),'ATIVIDADES E APONTAMENTOS'!$A:$F,{2,3,4,5,6},0),"Não Executar")</f>
        <v>Não Executar</v>
      </c>
      <c r="L196" s="58">
        <f t="shared" si="3"/>
        <v>0</v>
      </c>
    </row>
    <row r="197" spans="6:12" ht="15" customHeight="1" x14ac:dyDescent="0.45">
      <c r="F197" s="59">
        <v>21</v>
      </c>
      <c r="G197" s="57" t="str" cm="1">
        <f t="array" ref="G197">IFERROR(VLOOKUP(GERENCIAMENTO!$D$30&amp;ROW(A21),'ATIVIDADES E APONTAMENTOS'!$A:$F,{2,3,4,5,6},0),"Não Executar")</f>
        <v>Não Executar</v>
      </c>
      <c r="L197" s="58">
        <f t="shared" si="3"/>
        <v>0</v>
      </c>
    </row>
    <row r="198" spans="6:12" ht="15" customHeight="1" x14ac:dyDescent="0.45">
      <c r="F198" s="59">
        <v>22</v>
      </c>
      <c r="G198" s="57" t="str" cm="1">
        <f t="array" ref="G198">IFERROR(VLOOKUP(GERENCIAMENTO!$D$30&amp;ROW(A22),'ATIVIDADES E APONTAMENTOS'!$A:$F,{2,3,4,5,6},0),"Não Executar")</f>
        <v>Não Executar</v>
      </c>
      <c r="L198" s="58">
        <f t="shared" si="3"/>
        <v>0</v>
      </c>
    </row>
    <row r="199" spans="6:12" ht="15" customHeight="1" x14ac:dyDescent="0.45">
      <c r="F199" s="59">
        <v>23</v>
      </c>
      <c r="G199" s="57" t="str" cm="1">
        <f t="array" ref="G199">IFERROR(VLOOKUP(GERENCIAMENTO!$D$30&amp;ROW(A23),'ATIVIDADES E APONTAMENTOS'!$A:$F,{2,3,4,5,6},0),"Não Executar")</f>
        <v>Não Executar</v>
      </c>
      <c r="L199" s="58">
        <f t="shared" si="3"/>
        <v>0</v>
      </c>
    </row>
    <row r="200" spans="6:12" ht="15" customHeight="1" x14ac:dyDescent="0.45">
      <c r="F200" s="59">
        <v>24</v>
      </c>
      <c r="G200" s="57" t="str" cm="1">
        <f t="array" ref="G200">IFERROR(VLOOKUP(GERENCIAMENTO!$D$30&amp;ROW(A24),'ATIVIDADES E APONTAMENTOS'!$A:$F,{2,3,4,5,6},0),"Não Executar")</f>
        <v>Não Executar</v>
      </c>
      <c r="L200" s="58">
        <f t="shared" si="3"/>
        <v>0</v>
      </c>
    </row>
    <row r="201" spans="6:12" ht="15" customHeight="1" x14ac:dyDescent="0.45">
      <c r="F201" s="59">
        <v>25</v>
      </c>
      <c r="G201" s="57" t="str" cm="1">
        <f t="array" ref="G201">IFERROR(VLOOKUP(GERENCIAMENTO!$D$30&amp;ROW(A25),'ATIVIDADES E APONTAMENTOS'!$A:$F,{2,3,4,5,6},0),"Não Executar")</f>
        <v>Não Executar</v>
      </c>
      <c r="L201" s="58">
        <f t="shared" si="3"/>
        <v>0</v>
      </c>
    </row>
    <row r="202" spans="6:12" ht="15" customHeight="1" x14ac:dyDescent="0.45">
      <c r="F202" s="23">
        <v>1</v>
      </c>
      <c r="G202" s="57" t="str" cm="1">
        <f t="array" ref="G202:K202">IFERROR(VLOOKUP(GERENCIAMENTO!$D$31&amp;ROW(A1),'ATIVIDADES E APONTAMENTOS'!$A:$F,{2,3,4,5,6},0),"Não Executar")</f>
        <v>9 - TAMPA TRASEIRA</v>
      </c>
      <c r="H202" s="57" t="str">
        <v>DESMONTAGEM</v>
      </c>
      <c r="I202" s="57" t="str">
        <v>Desmontar peça para preparação</v>
      </c>
      <c r="J202" s="57" t="str">
        <v>Lohan</v>
      </c>
      <c r="K202" s="57">
        <v>10</v>
      </c>
      <c r="L202" s="58">
        <f t="shared" si="3"/>
        <v>0.16666666666666666</v>
      </c>
    </row>
    <row r="203" spans="6:12" ht="15" customHeight="1" x14ac:dyDescent="0.45">
      <c r="F203" s="23">
        <v>2</v>
      </c>
      <c r="G203" s="57" t="str" cm="1">
        <f t="array" ref="G203:K203">IFERROR(VLOOKUP(GERENCIAMENTO!$D$31&amp;ROW(A2),'ATIVIDADES E APONTAMENTOS'!$A:$F,{2,3,4,5,6},0),"Não Executar")</f>
        <v>9 - TAMPA TRASEIRA</v>
      </c>
      <c r="H203" s="57" t="str">
        <v>PREPARAÇÃO</v>
      </c>
      <c r="I203" s="57" t="str">
        <v>Raspar/Lixar</v>
      </c>
      <c r="J203" s="57" t="str">
        <v>Lohan</v>
      </c>
      <c r="K203" s="57">
        <v>60</v>
      </c>
      <c r="L203" s="58">
        <f t="shared" si="3"/>
        <v>1</v>
      </c>
    </row>
    <row r="204" spans="6:12" ht="15" customHeight="1" x14ac:dyDescent="0.45">
      <c r="F204" s="23">
        <v>3</v>
      </c>
      <c r="G204" s="57" t="str" cm="1">
        <f t="array" ref="G204:K204">IFERROR(VLOOKUP(GERENCIAMENTO!$D$31&amp;ROW(A3),'ATIVIDADES E APONTAMENTOS'!$A:$F,{2,3,4,5,6},0),"Não Executar")</f>
        <v>9 - TAMPA TRASEIRA</v>
      </c>
      <c r="H204" s="57" t="str">
        <v>PREPARAÇÃO</v>
      </c>
      <c r="I204" s="57" t="str">
        <v>Limpar e inspecionar</v>
      </c>
      <c r="J204" s="57" t="str">
        <v>Lohan</v>
      </c>
      <c r="K204" s="57">
        <v>15</v>
      </c>
      <c r="L204" s="58">
        <f t="shared" si="3"/>
        <v>0.25</v>
      </c>
    </row>
    <row r="205" spans="6:12" ht="15" customHeight="1" x14ac:dyDescent="0.45">
      <c r="F205" s="23">
        <v>4</v>
      </c>
      <c r="G205" s="57" t="str" cm="1">
        <f t="array" ref="G205:K205">IFERROR(VLOOKUP(GERENCIAMENTO!$D$31&amp;ROW(A4),'ATIVIDADES E APONTAMENTOS'!$A:$F,{2,3,4,5,6},0),"Não Executar")</f>
        <v>9 - TAMPA TRASEIRA</v>
      </c>
      <c r="H205" s="57" t="str">
        <v>CORTE</v>
      </c>
      <c r="I205" s="57" t="str">
        <v>Cortar corvin</v>
      </c>
      <c r="J205" s="57" t="str">
        <v>Rita</v>
      </c>
      <c r="K205" s="57">
        <v>10</v>
      </c>
      <c r="L205" s="58">
        <f t="shared" si="3"/>
        <v>0.16666666666666666</v>
      </c>
    </row>
    <row r="206" spans="6:12" ht="15" customHeight="1" x14ac:dyDescent="0.45">
      <c r="F206" s="23">
        <v>5</v>
      </c>
      <c r="G206" s="57" t="str" cm="1">
        <f t="array" ref="G206:K206">IFERROR(VLOOKUP(GERENCIAMENTO!$D$31&amp;ROW(A5),'ATIVIDADES E APONTAMENTOS'!$A:$F,{2,3,4,5,6},0),"Não Executar")</f>
        <v>9 - TAMPA TRASEIRA</v>
      </c>
      <c r="H206" s="57" t="str">
        <v>APLICAÇÃO COLA</v>
      </c>
      <c r="I206" s="57" t="str">
        <v>Aplicar cola</v>
      </c>
      <c r="J206" s="57" t="str">
        <v>Lohan</v>
      </c>
      <c r="K206" s="57">
        <v>15</v>
      </c>
      <c r="L206" s="58">
        <f t="shared" si="3"/>
        <v>0.25</v>
      </c>
    </row>
    <row r="207" spans="6:12" ht="15" customHeight="1" x14ac:dyDescent="0.45">
      <c r="F207" s="23">
        <v>6</v>
      </c>
      <c r="G207" s="57" t="str" cm="1">
        <f t="array" ref="G207:K207">IFERROR(VLOOKUP(GERENCIAMENTO!$D$31&amp;ROW(A6),'ATIVIDADES E APONTAMENTOS'!$A:$F,{2,3,4,5,6},0),"Não Executar")</f>
        <v>9 - TAMPA TRASEIRA</v>
      </c>
      <c r="H207" s="57" t="str">
        <v>COLAGEM</v>
      </c>
      <c r="I207" s="57" t="str">
        <v>Colar peça</v>
      </c>
      <c r="J207" s="57" t="str">
        <v>Gabriel</v>
      </c>
      <c r="K207" s="57">
        <v>40</v>
      </c>
      <c r="L207" s="58">
        <f t="shared" si="3"/>
        <v>0.66666666666666663</v>
      </c>
    </row>
    <row r="208" spans="6:12" ht="15" customHeight="1" x14ac:dyDescent="0.45">
      <c r="F208" s="23">
        <v>7</v>
      </c>
      <c r="G208" s="57" t="str" cm="1">
        <f t="array" ref="G208:K208">IFERROR(VLOOKUP(GERENCIAMENTO!$D$31&amp;ROW(A7),'ATIVIDADES E APONTAMENTOS'!$A:$F,{2,3,4,5,6},0),"Não Executar")</f>
        <v>9 - TAMPA TRASEIRA</v>
      </c>
      <c r="H208" s="57" t="str">
        <v>PRÉ-MONTAGEM</v>
      </c>
      <c r="I208" s="57" t="str">
        <v>Finalizar com dobra e aplicação de grampo</v>
      </c>
      <c r="J208" s="57" t="str">
        <v>Kadu</v>
      </c>
      <c r="K208" s="57">
        <v>20</v>
      </c>
      <c r="L208" s="58">
        <f t="shared" si="3"/>
        <v>0.33333333333333331</v>
      </c>
    </row>
    <row r="209" spans="6:12" ht="15" customHeight="1" x14ac:dyDescent="0.45">
      <c r="F209" s="23">
        <v>8</v>
      </c>
      <c r="G209" s="57" t="str" cm="1">
        <f t="array" ref="G209:K209">IFERROR(VLOOKUP(GERENCIAMENTO!$D$31&amp;ROW(A8),'ATIVIDADES E APONTAMENTOS'!$A:$F,{2,3,4,5,6},0),"Não Executar")</f>
        <v>9 - TAMPA TRASEIRA</v>
      </c>
      <c r="H209" s="57">
        <v>0</v>
      </c>
      <c r="I209" s="57">
        <v>0</v>
      </c>
      <c r="J209" s="57" t="str">
        <v>Não Executar</v>
      </c>
      <c r="K209" s="57">
        <v>0</v>
      </c>
      <c r="L209" s="58">
        <f t="shared" si="3"/>
        <v>0</v>
      </c>
    </row>
    <row r="210" spans="6:12" ht="15" customHeight="1" x14ac:dyDescent="0.45">
      <c r="F210" s="23">
        <v>9</v>
      </c>
      <c r="G210" s="57" t="str" cm="1">
        <f t="array" ref="G210:K210">IFERROR(VLOOKUP(GERENCIAMENTO!$D$31&amp;ROW(A9),'ATIVIDADES E APONTAMENTOS'!$A:$F,{2,3,4,5,6},0),"Não Executar")</f>
        <v>9 - TAMPA TRASEIRA</v>
      </c>
      <c r="H210" s="57">
        <v>0</v>
      </c>
      <c r="I210" s="57">
        <v>0</v>
      </c>
      <c r="J210" s="57" t="str">
        <v>Não Executar</v>
      </c>
      <c r="K210" s="57">
        <v>0</v>
      </c>
      <c r="L210" s="58">
        <f t="shared" si="3"/>
        <v>0</v>
      </c>
    </row>
    <row r="211" spans="6:12" ht="15" customHeight="1" x14ac:dyDescent="0.45">
      <c r="F211" s="23">
        <v>10</v>
      </c>
      <c r="G211" s="57" t="str" cm="1">
        <f t="array" ref="G211:K211">IFERROR(VLOOKUP(GERENCIAMENTO!$D$31&amp;ROW(A10),'ATIVIDADES E APONTAMENTOS'!$A:$F,{2,3,4,5,6},0),"Não Executar")</f>
        <v>9 - TAMPA TRASEIRA</v>
      </c>
      <c r="H211" s="57">
        <v>0</v>
      </c>
      <c r="I211" s="57">
        <v>0</v>
      </c>
      <c r="J211" s="57" t="str">
        <v>Não Executar</v>
      </c>
      <c r="K211" s="57">
        <v>0</v>
      </c>
      <c r="L211" s="58">
        <f t="shared" si="3"/>
        <v>0</v>
      </c>
    </row>
    <row r="212" spans="6:12" ht="15" customHeight="1" x14ac:dyDescent="0.45">
      <c r="F212" s="23">
        <v>11</v>
      </c>
      <c r="G212" s="57" t="str" cm="1">
        <f t="array" ref="G212:K212">IFERROR(VLOOKUP(GERENCIAMENTO!$D$31&amp;ROW(A11),'ATIVIDADES E APONTAMENTOS'!$A:$F,{2,3,4,5,6},0),"Não Executar")</f>
        <v>9 - TAMPA TRASEIRA</v>
      </c>
      <c r="H212" s="57">
        <v>0</v>
      </c>
      <c r="I212" s="57">
        <v>0</v>
      </c>
      <c r="J212" s="57" t="str">
        <v>Não Executar</v>
      </c>
      <c r="K212" s="57">
        <v>0</v>
      </c>
      <c r="L212" s="58">
        <f t="shared" si="3"/>
        <v>0</v>
      </c>
    </row>
    <row r="213" spans="6:12" ht="15" customHeight="1" x14ac:dyDescent="0.45">
      <c r="F213" s="23">
        <v>12</v>
      </c>
      <c r="G213" s="57" t="str" cm="1">
        <f t="array" ref="G213:K213">IFERROR(VLOOKUP(GERENCIAMENTO!$D$31&amp;ROW(A12),'ATIVIDADES E APONTAMENTOS'!$A:$F,{2,3,4,5,6},0),"Não Executar")</f>
        <v>9 - TAMPA TRASEIRA</v>
      </c>
      <c r="H213" s="57">
        <v>0</v>
      </c>
      <c r="I213" s="57">
        <v>0</v>
      </c>
      <c r="J213" s="57" t="str">
        <v>Não Executar</v>
      </c>
      <c r="K213" s="57">
        <v>0</v>
      </c>
      <c r="L213" s="58">
        <f t="shared" si="3"/>
        <v>0</v>
      </c>
    </row>
    <row r="214" spans="6:12" ht="15" customHeight="1" x14ac:dyDescent="0.45">
      <c r="F214" s="23">
        <v>13</v>
      </c>
      <c r="G214" s="57" t="str" cm="1">
        <f t="array" ref="G214:K214">IFERROR(VLOOKUP(GERENCIAMENTO!$D$31&amp;ROW(A13),'ATIVIDADES E APONTAMENTOS'!$A:$F,{2,3,4,5,6},0),"Não Executar")</f>
        <v>9 - TAMPA TRASEIRA</v>
      </c>
      <c r="H214" s="57">
        <v>0</v>
      </c>
      <c r="I214" s="57">
        <v>0</v>
      </c>
      <c r="J214" s="57" t="str">
        <v>Não Executar</v>
      </c>
      <c r="K214" s="57">
        <v>0</v>
      </c>
      <c r="L214" s="58">
        <f t="shared" si="3"/>
        <v>0</v>
      </c>
    </row>
    <row r="215" spans="6:12" ht="15" customHeight="1" x14ac:dyDescent="0.45">
      <c r="F215" s="23">
        <v>14</v>
      </c>
      <c r="G215" s="57" t="str" cm="1">
        <f t="array" ref="G215">IFERROR(VLOOKUP(GERENCIAMENTO!$D$31&amp;ROW(A14),'ATIVIDADES E APONTAMENTOS'!$A:$F,{2,3,4,5,6},0),"Não Executar")</f>
        <v>Não Executar</v>
      </c>
      <c r="L215" s="58">
        <f t="shared" si="3"/>
        <v>0</v>
      </c>
    </row>
    <row r="216" spans="6:12" ht="15" customHeight="1" x14ac:dyDescent="0.45">
      <c r="F216" s="23">
        <v>15</v>
      </c>
      <c r="G216" s="57" t="str" cm="1">
        <f t="array" ref="G216">IFERROR(VLOOKUP(GERENCIAMENTO!$D$31&amp;ROW(A15),'ATIVIDADES E APONTAMENTOS'!$A:$F,{2,3,4,5,6},0),"Não Executar")</f>
        <v>Não Executar</v>
      </c>
      <c r="L216" s="58">
        <f t="shared" si="3"/>
        <v>0</v>
      </c>
    </row>
    <row r="217" spans="6:12" ht="15" customHeight="1" x14ac:dyDescent="0.45">
      <c r="F217" s="23">
        <v>16</v>
      </c>
      <c r="G217" s="57" t="str" cm="1">
        <f t="array" ref="G217">IFERROR(VLOOKUP(GERENCIAMENTO!$D$31&amp;ROW(A16),'ATIVIDADES E APONTAMENTOS'!$A:$F,{2,3,4,5,6},0),"Não Executar")</f>
        <v>Não Executar</v>
      </c>
      <c r="L217" s="58">
        <f t="shared" si="3"/>
        <v>0</v>
      </c>
    </row>
    <row r="218" spans="6:12" ht="15" customHeight="1" x14ac:dyDescent="0.45">
      <c r="F218" s="23">
        <v>17</v>
      </c>
      <c r="G218" s="57" t="str" cm="1">
        <f t="array" ref="G218">IFERROR(VLOOKUP(GERENCIAMENTO!$D$31&amp;ROW(A17),'ATIVIDADES E APONTAMENTOS'!$A:$F,{2,3,4,5,6},0),"Não Executar")</f>
        <v>Não Executar</v>
      </c>
      <c r="L218" s="58">
        <f t="shared" si="3"/>
        <v>0</v>
      </c>
    </row>
    <row r="219" spans="6:12" ht="15" customHeight="1" x14ac:dyDescent="0.45">
      <c r="F219" s="23">
        <v>18</v>
      </c>
      <c r="G219" s="57" t="str" cm="1">
        <f t="array" ref="G219">IFERROR(VLOOKUP(GERENCIAMENTO!$D$31&amp;ROW(A18),'ATIVIDADES E APONTAMENTOS'!$A:$F,{2,3,4,5,6},0),"Não Executar")</f>
        <v>Não Executar</v>
      </c>
      <c r="L219" s="58">
        <f t="shared" si="3"/>
        <v>0</v>
      </c>
    </row>
    <row r="220" spans="6:12" ht="15" customHeight="1" x14ac:dyDescent="0.45">
      <c r="F220" s="23">
        <v>19</v>
      </c>
      <c r="G220" s="57" t="str" cm="1">
        <f t="array" ref="G220">IFERROR(VLOOKUP(GERENCIAMENTO!$D$31&amp;ROW(A19),'ATIVIDADES E APONTAMENTOS'!$A:$F,{2,3,4,5,6},0),"Não Executar")</f>
        <v>Não Executar</v>
      </c>
      <c r="L220" s="58">
        <f t="shared" si="3"/>
        <v>0</v>
      </c>
    </row>
    <row r="221" spans="6:12" ht="15" customHeight="1" x14ac:dyDescent="0.45">
      <c r="F221" s="23">
        <v>20</v>
      </c>
      <c r="G221" s="57" t="str" cm="1">
        <f t="array" ref="G221">IFERROR(VLOOKUP(GERENCIAMENTO!$D$31&amp;ROW(A20),'ATIVIDADES E APONTAMENTOS'!$A:$F,{2,3,4,5,6},0),"Não Executar")</f>
        <v>Não Executar</v>
      </c>
      <c r="L221" s="58">
        <f t="shared" si="3"/>
        <v>0</v>
      </c>
    </row>
    <row r="222" spans="6:12" ht="15" customHeight="1" x14ac:dyDescent="0.45">
      <c r="F222" s="23">
        <v>21</v>
      </c>
      <c r="G222" s="57" t="str" cm="1">
        <f t="array" ref="G222">IFERROR(VLOOKUP(GERENCIAMENTO!$D$31&amp;ROW(A21),'ATIVIDADES E APONTAMENTOS'!$A:$F,{2,3,4,5,6},0),"Não Executar")</f>
        <v>Não Executar</v>
      </c>
      <c r="L222" s="58">
        <f t="shared" si="3"/>
        <v>0</v>
      </c>
    </row>
    <row r="223" spans="6:12" ht="15" customHeight="1" x14ac:dyDescent="0.45">
      <c r="F223" s="23">
        <v>22</v>
      </c>
      <c r="G223" s="57" t="str" cm="1">
        <f t="array" ref="G223">IFERROR(VLOOKUP(GERENCIAMENTO!$D$31&amp;ROW(A22),'ATIVIDADES E APONTAMENTOS'!$A:$F,{2,3,4,5,6},0),"Não Executar")</f>
        <v>Não Executar</v>
      </c>
      <c r="L223" s="58">
        <f t="shared" si="3"/>
        <v>0</v>
      </c>
    </row>
    <row r="224" spans="6:12" ht="15" customHeight="1" x14ac:dyDescent="0.45">
      <c r="F224" s="23">
        <v>23</v>
      </c>
      <c r="G224" s="57" t="str" cm="1">
        <f t="array" ref="G224">IFERROR(VLOOKUP(GERENCIAMENTO!$D$31&amp;ROW(A23),'ATIVIDADES E APONTAMENTOS'!$A:$F,{2,3,4,5,6},0),"Não Executar")</f>
        <v>Não Executar</v>
      </c>
      <c r="L224" s="58">
        <f t="shared" si="3"/>
        <v>0</v>
      </c>
    </row>
    <row r="225" spans="6:12" ht="15" customHeight="1" x14ac:dyDescent="0.45">
      <c r="F225" s="23">
        <v>24</v>
      </c>
      <c r="G225" s="57" t="str" cm="1">
        <f t="array" ref="G225">IFERROR(VLOOKUP(GERENCIAMENTO!$D$31&amp;ROW(A24),'ATIVIDADES E APONTAMENTOS'!$A:$F,{2,3,4,5,6},0),"Não Executar")</f>
        <v>Não Executar</v>
      </c>
      <c r="L225" s="58">
        <f t="shared" si="3"/>
        <v>0</v>
      </c>
    </row>
    <row r="226" spans="6:12" ht="15" customHeight="1" x14ac:dyDescent="0.45">
      <c r="F226" s="23">
        <v>25</v>
      </c>
      <c r="G226" s="57" t="str" cm="1">
        <f t="array" ref="G226">IFERROR(VLOOKUP(GERENCIAMENTO!$D$31&amp;ROW(A25),'ATIVIDADES E APONTAMENTOS'!$A:$F,{2,3,4,5,6},0),"Não Executar")</f>
        <v>Não Executar</v>
      </c>
      <c r="L226" s="58">
        <f t="shared" si="3"/>
        <v>0</v>
      </c>
    </row>
    <row r="227" spans="6:12" ht="15" customHeight="1" x14ac:dyDescent="0.45">
      <c r="F227" s="59">
        <v>1</v>
      </c>
      <c r="G227" s="57" t="str" cm="1">
        <f t="array" ref="G227:K227">IFERROR(VLOOKUP(GERENCIAMENTO!$D$32&amp;ROW(A1),'ATIVIDADES E APONTAMENTOS'!$A:$F,{2,3,4,5,6},0),"Não Executar")</f>
        <v>10 - LATERAIS TRASEIRAS</v>
      </c>
      <c r="H227" s="57" t="str">
        <v>PREPARAÇÃO</v>
      </c>
      <c r="I227" s="57" t="str">
        <v xml:space="preserve">remoção do tecido/courvin para a preparação  </v>
      </c>
      <c r="J227" s="57" t="str">
        <v>Lohan</v>
      </c>
      <c r="K227" s="57">
        <v>10</v>
      </c>
      <c r="L227" s="58">
        <f t="shared" si="3"/>
        <v>0.16666666666666666</v>
      </c>
    </row>
    <row r="228" spans="6:12" ht="15" customHeight="1" x14ac:dyDescent="0.45">
      <c r="F228" s="59">
        <v>2</v>
      </c>
      <c r="G228" s="57" t="str" cm="1">
        <f t="array" ref="G228:K228">IFERROR(VLOOKUP(GERENCIAMENTO!$D$32&amp;ROW(A2),'ATIVIDADES E APONTAMENTOS'!$A:$F,{2,3,4,5,6},0),"Não Executar")</f>
        <v>10 - LATERAIS TRASEIRAS</v>
      </c>
      <c r="H228" s="57" t="str">
        <v>PREPARAÇÃO</v>
      </c>
      <c r="I228" s="57" t="str">
        <v>raspar/lixar</v>
      </c>
      <c r="J228" s="57" t="str">
        <v>Lohan</v>
      </c>
      <c r="K228" s="57">
        <v>160</v>
      </c>
      <c r="L228" s="58">
        <f t="shared" si="3"/>
        <v>2.6666666666666665</v>
      </c>
    </row>
    <row r="229" spans="6:12" ht="15" customHeight="1" x14ac:dyDescent="0.45">
      <c r="F229" s="59">
        <v>3</v>
      </c>
      <c r="G229" s="57" t="str" cm="1">
        <f t="array" ref="G229:K229">IFERROR(VLOOKUP(GERENCIAMENTO!$D$32&amp;ROW(A3),'ATIVIDADES E APONTAMENTOS'!$A:$F,{2,3,4,5,6},0),"Não Executar")</f>
        <v>10 - LATERAIS TRASEIRAS</v>
      </c>
      <c r="H229" s="57" t="str">
        <v>PREPARAÇÃO</v>
      </c>
      <c r="I229" s="57" t="str">
        <v>Limpar e inspecionar</v>
      </c>
      <c r="J229" s="57" t="str">
        <v>Lohan</v>
      </c>
      <c r="K229" s="57">
        <v>10</v>
      </c>
      <c r="L229" s="58">
        <f t="shared" si="3"/>
        <v>0.16666666666666666</v>
      </c>
    </row>
    <row r="230" spans="6:12" ht="15" customHeight="1" x14ac:dyDescent="0.45">
      <c r="F230" s="59">
        <v>4</v>
      </c>
      <c r="G230" s="57" t="str" cm="1">
        <f t="array" ref="G230:K230">IFERROR(VLOOKUP(GERENCIAMENTO!$D$32&amp;ROW(A4),'ATIVIDADES E APONTAMENTOS'!$A:$F,{2,3,4,5,6},0),"Não Executar")</f>
        <v>10 - LATERAIS TRASEIRAS</v>
      </c>
      <c r="H230" s="57" t="str">
        <v>PREPARAÇÃO</v>
      </c>
      <c r="I230" s="57" t="str">
        <v xml:space="preserve"> reparo estrutural</v>
      </c>
      <c r="J230" s="57" t="str">
        <v>Lohan</v>
      </c>
      <c r="K230" s="57">
        <v>10</v>
      </c>
      <c r="L230" s="58">
        <f t="shared" si="3"/>
        <v>0.16666666666666666</v>
      </c>
    </row>
    <row r="231" spans="6:12" ht="15" customHeight="1" x14ac:dyDescent="0.45">
      <c r="F231" s="59">
        <v>5</v>
      </c>
      <c r="G231" s="57" t="str" cm="1">
        <f t="array" ref="G231:K231">IFERROR(VLOOKUP(GERENCIAMENTO!$D$32&amp;ROW(A5),'ATIVIDADES E APONTAMENTOS'!$A:$F,{2,3,4,5,6},0),"Não Executar")</f>
        <v>10 - LATERAIS TRASEIRAS</v>
      </c>
      <c r="H231" s="57" t="str">
        <v>CORTE</v>
      </c>
      <c r="I231" s="57" t="str">
        <v xml:space="preserve">cortar tecido </v>
      </c>
      <c r="J231" s="57" t="str">
        <v>Rita</v>
      </c>
      <c r="K231" s="57">
        <v>15</v>
      </c>
      <c r="L231" s="58">
        <f t="shared" si="3"/>
        <v>0.25</v>
      </c>
    </row>
    <row r="232" spans="6:12" ht="15" customHeight="1" x14ac:dyDescent="0.45">
      <c r="F232" s="59">
        <v>6</v>
      </c>
      <c r="G232" s="57" t="str" cm="1">
        <f t="array" ref="G232:K232">IFERROR(VLOOKUP(GERENCIAMENTO!$D$32&amp;ROW(A6),'ATIVIDADES E APONTAMENTOS'!$A:$F,{2,3,4,5,6},0),"Não Executar")</f>
        <v>10 - LATERAIS TRASEIRAS</v>
      </c>
      <c r="H232" s="57" t="str">
        <v>COLAGEM</v>
      </c>
      <c r="I232" s="57" t="str">
        <v>aplicação de cola contato no tecido e laterais</v>
      </c>
      <c r="J232" s="57" t="str">
        <v>Gabriel</v>
      </c>
      <c r="K232" s="57">
        <v>20</v>
      </c>
      <c r="L232" s="58">
        <f t="shared" si="3"/>
        <v>0.33333333333333331</v>
      </c>
    </row>
    <row r="233" spans="6:12" ht="15" customHeight="1" x14ac:dyDescent="0.45">
      <c r="F233" s="59">
        <v>7</v>
      </c>
      <c r="G233" s="57" t="str" cm="1">
        <f t="array" ref="G233:K233">IFERROR(VLOOKUP(GERENCIAMENTO!$D$32&amp;ROW(A7),'ATIVIDADES E APONTAMENTOS'!$A:$F,{2,3,4,5,6},0),"Não Executar")</f>
        <v>10 - LATERAIS TRASEIRAS</v>
      </c>
      <c r="H233" s="57" t="str">
        <v>COLAGEM</v>
      </c>
      <c r="I233" s="57" t="str">
        <v>colar o tecido</v>
      </c>
      <c r="J233" s="57" t="str">
        <v>Gabriel</v>
      </c>
      <c r="K233" s="57">
        <v>40</v>
      </c>
      <c r="L233" s="58">
        <f t="shared" si="3"/>
        <v>0.66666666666666663</v>
      </c>
    </row>
    <row r="234" spans="6:12" ht="15" customHeight="1" x14ac:dyDescent="0.45">
      <c r="F234" s="59">
        <v>8</v>
      </c>
      <c r="G234" s="57" t="str" cm="1">
        <f t="array" ref="G234:K234">IFERROR(VLOOKUP(GERENCIAMENTO!$D$32&amp;ROW(A8),'ATIVIDADES E APONTAMENTOS'!$A:$F,{2,3,4,5,6},0),"Não Executar")</f>
        <v>10 - LATERAIS TRASEIRAS</v>
      </c>
      <c r="H234" s="57" t="str">
        <v>PRÉ-MONTAGEM</v>
      </c>
      <c r="I234" s="57" t="str">
        <v xml:space="preserve">instalação do friso, prestanas de acabamento e grampos </v>
      </c>
      <c r="J234" s="57" t="str">
        <v>Kadu</v>
      </c>
      <c r="K234" s="57">
        <v>40</v>
      </c>
      <c r="L234" s="58">
        <f t="shared" si="3"/>
        <v>0.66666666666666663</v>
      </c>
    </row>
    <row r="235" spans="6:12" ht="15" customHeight="1" x14ac:dyDescent="0.45">
      <c r="F235" s="59">
        <v>9</v>
      </c>
      <c r="G235" s="57" t="str" cm="1">
        <f t="array" ref="G235:K235">IFERROR(VLOOKUP(GERENCIAMENTO!$D$32&amp;ROW(A9),'ATIVIDADES E APONTAMENTOS'!$A:$F,{2,3,4,5,6},0),"Não Executar")</f>
        <v>10 - LATERAIS TRASEIRAS</v>
      </c>
      <c r="H235" s="57">
        <v>0</v>
      </c>
      <c r="I235" s="57">
        <v>0</v>
      </c>
      <c r="J235" s="57" t="str">
        <v>Não Executar</v>
      </c>
      <c r="K235" s="57">
        <v>0</v>
      </c>
      <c r="L235" s="58">
        <f t="shared" si="3"/>
        <v>0</v>
      </c>
    </row>
    <row r="236" spans="6:12" ht="15" customHeight="1" x14ac:dyDescent="0.45">
      <c r="F236" s="59">
        <v>10</v>
      </c>
      <c r="G236" s="57" t="str" cm="1">
        <f t="array" ref="G236:K236">IFERROR(VLOOKUP(GERENCIAMENTO!$D$32&amp;ROW(A10),'ATIVIDADES E APONTAMENTOS'!$A:$F,{2,3,4,5,6},0),"Não Executar")</f>
        <v>10 - LATERAIS TRASEIRAS</v>
      </c>
      <c r="H236" s="57">
        <v>0</v>
      </c>
      <c r="I236" s="57">
        <v>0</v>
      </c>
      <c r="J236" s="57" t="str">
        <v>Não Executar</v>
      </c>
      <c r="K236" s="57">
        <v>0</v>
      </c>
      <c r="L236" s="58">
        <f t="shared" si="3"/>
        <v>0</v>
      </c>
    </row>
    <row r="237" spans="6:12" ht="15" customHeight="1" x14ac:dyDescent="0.45">
      <c r="F237" s="59">
        <v>11</v>
      </c>
      <c r="G237" s="57" t="str" cm="1">
        <f t="array" ref="G237:K237">IFERROR(VLOOKUP(GERENCIAMENTO!$D$32&amp;ROW(A11),'ATIVIDADES E APONTAMENTOS'!$A:$F,{2,3,4,5,6},0),"Não Executar")</f>
        <v>10 - LATERAIS TRASEIRAS</v>
      </c>
      <c r="H237" s="57">
        <v>0</v>
      </c>
      <c r="I237" s="57">
        <v>0</v>
      </c>
      <c r="J237" s="57" t="str">
        <v>Não Executar</v>
      </c>
      <c r="K237" s="57">
        <v>0</v>
      </c>
      <c r="L237" s="58">
        <f t="shared" si="3"/>
        <v>0</v>
      </c>
    </row>
    <row r="238" spans="6:12" ht="15" customHeight="1" x14ac:dyDescent="0.45">
      <c r="F238" s="59">
        <v>12</v>
      </c>
      <c r="G238" s="57" t="str" cm="1">
        <f t="array" ref="G238:K238">IFERROR(VLOOKUP(GERENCIAMENTO!$D$32&amp;ROW(A12),'ATIVIDADES E APONTAMENTOS'!$A:$F,{2,3,4,5,6},0),"Não Executar")</f>
        <v>10 - LATERAIS TRASEIRAS</v>
      </c>
      <c r="H238" s="57">
        <v>0</v>
      </c>
      <c r="I238" s="57">
        <v>0</v>
      </c>
      <c r="J238" s="57" t="str">
        <v>Não Executar</v>
      </c>
      <c r="K238" s="57">
        <v>0</v>
      </c>
      <c r="L238" s="58">
        <f t="shared" si="3"/>
        <v>0</v>
      </c>
    </row>
    <row r="239" spans="6:12" ht="15" customHeight="1" x14ac:dyDescent="0.45">
      <c r="F239" s="59">
        <v>13</v>
      </c>
      <c r="G239" s="57" t="str" cm="1">
        <f t="array" ref="G239:K239">IFERROR(VLOOKUP(GERENCIAMENTO!$D$32&amp;ROW(A13),'ATIVIDADES E APONTAMENTOS'!$A:$F,{2,3,4,5,6},0),"Não Executar")</f>
        <v>10 - LATERAIS TRASEIRAS</v>
      </c>
      <c r="H239" s="57">
        <v>0</v>
      </c>
      <c r="I239" s="57">
        <v>0</v>
      </c>
      <c r="J239" s="57" t="str">
        <v>Não Executar</v>
      </c>
      <c r="K239" s="57">
        <v>0</v>
      </c>
      <c r="L239" s="58">
        <f t="shared" si="3"/>
        <v>0</v>
      </c>
    </row>
    <row r="240" spans="6:12" ht="15" customHeight="1" x14ac:dyDescent="0.45">
      <c r="F240" s="59">
        <v>14</v>
      </c>
      <c r="G240" s="57" t="str" cm="1">
        <f t="array" ref="G240:K240">IFERROR(VLOOKUP(GERENCIAMENTO!$D$32&amp;ROW(A14),'ATIVIDADES E APONTAMENTOS'!$A:$F,{2,3,4,5,6},0),"Não Executar")</f>
        <v>10 - LATERAIS TRASEIRAS</v>
      </c>
      <c r="H240" s="57">
        <v>0</v>
      </c>
      <c r="I240" s="57">
        <v>0</v>
      </c>
      <c r="J240" s="57" t="str">
        <v>Não Executar</v>
      </c>
      <c r="K240" s="57">
        <v>0</v>
      </c>
      <c r="L240" s="58">
        <f t="shared" si="3"/>
        <v>0</v>
      </c>
    </row>
    <row r="241" spans="6:12" ht="15" customHeight="1" x14ac:dyDescent="0.45">
      <c r="F241" s="59">
        <v>15</v>
      </c>
      <c r="G241" s="57" t="str" cm="1">
        <f t="array" ref="G241:K241">IFERROR(VLOOKUP(GERENCIAMENTO!$D$32&amp;ROW(A15),'ATIVIDADES E APONTAMENTOS'!$A:$F,{2,3,4,5,6},0),"Não Executar")</f>
        <v>10 - LATERAIS TRASEIRAS</v>
      </c>
      <c r="H241" s="57">
        <v>0</v>
      </c>
      <c r="I241" s="57">
        <v>0</v>
      </c>
      <c r="J241" s="57" t="str">
        <v>Não Executar</v>
      </c>
      <c r="K241" s="57">
        <v>0</v>
      </c>
      <c r="L241" s="58">
        <f t="shared" si="3"/>
        <v>0</v>
      </c>
    </row>
    <row r="242" spans="6:12" ht="15" customHeight="1" x14ac:dyDescent="0.45">
      <c r="F242" s="59">
        <v>16</v>
      </c>
      <c r="G242" s="57" t="str" cm="1">
        <f t="array" ref="G242">IFERROR(VLOOKUP(GERENCIAMENTO!$D$32&amp;ROW(A16),'ATIVIDADES E APONTAMENTOS'!$A:$F,{2,3,4,5,6},0),"Não Executar")</f>
        <v>Não Executar</v>
      </c>
      <c r="L242" s="58">
        <f t="shared" si="3"/>
        <v>0</v>
      </c>
    </row>
    <row r="243" spans="6:12" ht="15" customHeight="1" x14ac:dyDescent="0.45">
      <c r="F243" s="59">
        <v>17</v>
      </c>
      <c r="G243" s="57" t="str" cm="1">
        <f t="array" ref="G243">IFERROR(VLOOKUP(GERENCIAMENTO!$D$32&amp;ROW(A17),'ATIVIDADES E APONTAMENTOS'!$A:$F,{2,3,4,5,6},0),"Não Executar")</f>
        <v>Não Executar</v>
      </c>
      <c r="L243" s="58">
        <f t="shared" si="3"/>
        <v>0</v>
      </c>
    </row>
    <row r="244" spans="6:12" ht="15" customHeight="1" x14ac:dyDescent="0.45">
      <c r="F244" s="59">
        <v>18</v>
      </c>
      <c r="G244" s="57" t="str" cm="1">
        <f t="array" ref="G244">IFERROR(VLOOKUP(GERENCIAMENTO!$D$32&amp;ROW(A18),'ATIVIDADES E APONTAMENTOS'!$A:$F,{2,3,4,5,6},0),"Não Executar")</f>
        <v>Não Executar</v>
      </c>
      <c r="L244" s="58">
        <f t="shared" si="3"/>
        <v>0</v>
      </c>
    </row>
    <row r="245" spans="6:12" ht="15" customHeight="1" x14ac:dyDescent="0.45">
      <c r="F245" s="59">
        <v>19</v>
      </c>
      <c r="G245" s="57" t="str" cm="1">
        <f t="array" ref="G245">IFERROR(VLOOKUP(GERENCIAMENTO!$D$32&amp;ROW(A19),'ATIVIDADES E APONTAMENTOS'!$A:$F,{2,3,4,5,6},0),"Não Executar")</f>
        <v>Não Executar</v>
      </c>
      <c r="L245" s="58">
        <f t="shared" si="3"/>
        <v>0</v>
      </c>
    </row>
    <row r="246" spans="6:12" ht="15" customHeight="1" x14ac:dyDescent="0.45">
      <c r="F246" s="59">
        <v>20</v>
      </c>
      <c r="G246" s="57" t="str" cm="1">
        <f t="array" ref="G246">IFERROR(VLOOKUP(GERENCIAMENTO!$D$32&amp;ROW(A20),'ATIVIDADES E APONTAMENTOS'!$A:$F,{2,3,4,5,6},0),"Não Executar")</f>
        <v>Não Executar</v>
      </c>
      <c r="L246" s="58">
        <f t="shared" si="3"/>
        <v>0</v>
      </c>
    </row>
    <row r="247" spans="6:12" ht="15" customHeight="1" x14ac:dyDescent="0.45">
      <c r="F247" s="59">
        <v>21</v>
      </c>
      <c r="G247" s="57" t="str" cm="1">
        <f t="array" ref="G247">IFERROR(VLOOKUP(GERENCIAMENTO!$D$32&amp;ROW(A21),'ATIVIDADES E APONTAMENTOS'!$A:$F,{2,3,4,5,6},0),"Não Executar")</f>
        <v>Não Executar</v>
      </c>
      <c r="L247" s="58">
        <f t="shared" si="3"/>
        <v>0</v>
      </c>
    </row>
    <row r="248" spans="6:12" ht="15" customHeight="1" x14ac:dyDescent="0.45">
      <c r="F248" s="59">
        <v>22</v>
      </c>
      <c r="G248" s="57" t="str" cm="1">
        <f t="array" ref="G248">IFERROR(VLOOKUP(GERENCIAMENTO!$D$32&amp;ROW(A22),'ATIVIDADES E APONTAMENTOS'!$A:$F,{2,3,4,5,6},0),"Não Executar")</f>
        <v>Não Executar</v>
      </c>
      <c r="L248" s="58">
        <f t="shared" si="3"/>
        <v>0</v>
      </c>
    </row>
    <row r="249" spans="6:12" ht="15" customHeight="1" x14ac:dyDescent="0.45">
      <c r="F249" s="59">
        <v>23</v>
      </c>
      <c r="G249" s="57" t="str" cm="1">
        <f t="array" ref="G249">IFERROR(VLOOKUP(GERENCIAMENTO!$D$32&amp;ROW(A23),'ATIVIDADES E APONTAMENTOS'!$A:$F,{2,3,4,5,6},0),"Não Executar")</f>
        <v>Não Executar</v>
      </c>
      <c r="L249" s="58">
        <f t="shared" si="3"/>
        <v>0</v>
      </c>
    </row>
    <row r="250" spans="6:12" ht="15" customHeight="1" x14ac:dyDescent="0.45">
      <c r="F250" s="59">
        <v>24</v>
      </c>
      <c r="G250" s="57" t="str" cm="1">
        <f t="array" ref="G250">IFERROR(VLOOKUP(GERENCIAMENTO!$D$32&amp;ROW(A24),'ATIVIDADES E APONTAMENTOS'!$A:$F,{2,3,4,5,6},0),"Não Executar")</f>
        <v>Não Executar</v>
      </c>
      <c r="L250" s="58">
        <f t="shared" si="3"/>
        <v>0</v>
      </c>
    </row>
    <row r="251" spans="6:12" ht="15" customHeight="1" x14ac:dyDescent="0.45">
      <c r="F251" s="59">
        <v>25</v>
      </c>
      <c r="G251" s="57" t="str" cm="1">
        <f t="array" ref="G251">IFERROR(VLOOKUP(GERENCIAMENTO!$D$32&amp;ROW(A25),'ATIVIDADES E APONTAMENTOS'!$A:$F,{2,3,4,5,6},0),"Não Executar")</f>
        <v>Não Executar</v>
      </c>
      <c r="L251" s="58">
        <f t="shared" si="3"/>
        <v>0</v>
      </c>
    </row>
    <row r="252" spans="6:12" ht="15" customHeight="1" x14ac:dyDescent="0.45">
      <c r="F252" s="23">
        <v>1</v>
      </c>
      <c r="G252" s="57" t="str" cm="1">
        <f t="array" ref="G252:K252">IFERROR(VLOOKUP(GERENCIAMENTO!$D$33&amp;ROW(A1),'ATIVIDADES E APONTAMENTOS'!$A:$F,{2,3,4,5,6},0),"Não Executar")</f>
        <v>11 - OMBREIRA</v>
      </c>
      <c r="H252" s="57" t="str">
        <v>PREPARAÇÃO</v>
      </c>
      <c r="I252" s="57" t="str">
        <v xml:space="preserve">remoção do courvin para a preparação  </v>
      </c>
      <c r="J252" s="57" t="str">
        <v>Nikolas</v>
      </c>
      <c r="K252" s="57">
        <v>10</v>
      </c>
      <c r="L252" s="58">
        <f t="shared" si="3"/>
        <v>0.16666666666666666</v>
      </c>
    </row>
    <row r="253" spans="6:12" ht="15" customHeight="1" x14ac:dyDescent="0.45">
      <c r="F253" s="23">
        <v>2</v>
      </c>
      <c r="G253" s="57" t="str" cm="1">
        <f t="array" ref="G253:K253">IFERROR(VLOOKUP(GERENCIAMENTO!$D$33&amp;ROW(A2),'ATIVIDADES E APONTAMENTOS'!$A:$F,{2,3,4,5,6},0),"Não Executar")</f>
        <v>11 - OMBREIRA</v>
      </c>
      <c r="H253" s="57" t="str">
        <v>PREPARAÇÃO</v>
      </c>
      <c r="I253" s="57" t="str">
        <v>raspar / lixar</v>
      </c>
      <c r="J253" s="57" t="str">
        <v>Nikolas</v>
      </c>
      <c r="K253" s="57">
        <v>120</v>
      </c>
      <c r="L253" s="58">
        <f t="shared" si="3"/>
        <v>2</v>
      </c>
    </row>
    <row r="254" spans="6:12" ht="15" customHeight="1" x14ac:dyDescent="0.45">
      <c r="F254" s="23">
        <v>3</v>
      </c>
      <c r="G254" s="57" t="str" cm="1">
        <f t="array" ref="G254:K254">IFERROR(VLOOKUP(GERENCIAMENTO!$D$33&amp;ROW(A3),'ATIVIDADES E APONTAMENTOS'!$A:$F,{2,3,4,5,6},0),"Não Executar")</f>
        <v>11 - OMBREIRA</v>
      </c>
      <c r="H254" s="57" t="str">
        <v>PREPARAÇÃO</v>
      </c>
      <c r="I254" s="57" t="str">
        <v>Limpar e inspecionar</v>
      </c>
      <c r="J254" s="57" t="str">
        <v>Nikolas</v>
      </c>
      <c r="K254" s="57">
        <v>10</v>
      </c>
      <c r="L254" s="58">
        <f t="shared" si="3"/>
        <v>0.16666666666666666</v>
      </c>
    </row>
    <row r="255" spans="6:12" ht="15" customHeight="1" x14ac:dyDescent="0.45">
      <c r="F255" s="23">
        <v>4</v>
      </c>
      <c r="G255" s="57" t="str" cm="1">
        <f t="array" ref="G255:K255">IFERROR(VLOOKUP(GERENCIAMENTO!$D$33&amp;ROW(A4),'ATIVIDADES E APONTAMENTOS'!$A:$F,{2,3,4,5,6},0),"Não Executar")</f>
        <v>11 - OMBREIRA</v>
      </c>
      <c r="H255" s="57" t="str">
        <v>CORTE</v>
      </c>
      <c r="I255" s="57" t="str">
        <v>Cortar corvin da ombreira</v>
      </c>
      <c r="J255" s="57" t="str">
        <v>Rita</v>
      </c>
      <c r="K255" s="57">
        <v>10</v>
      </c>
      <c r="L255" s="58">
        <f t="shared" si="3"/>
        <v>0.16666666666666666</v>
      </c>
    </row>
    <row r="256" spans="6:12" ht="15" customHeight="1" x14ac:dyDescent="0.45">
      <c r="F256" s="23">
        <v>5</v>
      </c>
      <c r="G256" s="57" t="str" cm="1">
        <f t="array" ref="G256:K256">IFERROR(VLOOKUP(GERENCIAMENTO!$D$33&amp;ROW(A5),'ATIVIDADES E APONTAMENTOS'!$A:$F,{2,3,4,5,6},0),"Não Executar")</f>
        <v>11 - OMBREIRA</v>
      </c>
      <c r="H256" s="57" t="str">
        <v>COLAGEM</v>
      </c>
      <c r="I256" s="57" t="str">
        <v xml:space="preserve">aplicação de cola p.u  no courvin e ombreiras </v>
      </c>
      <c r="J256" s="57" t="str">
        <v>Gabriel</v>
      </c>
      <c r="K256" s="57">
        <v>25</v>
      </c>
      <c r="L256" s="58">
        <f t="shared" si="3"/>
        <v>0.41666666666666669</v>
      </c>
    </row>
    <row r="257" spans="6:12" ht="15" customHeight="1" x14ac:dyDescent="0.45">
      <c r="F257" s="23">
        <v>6</v>
      </c>
      <c r="G257" s="57" t="str" cm="1">
        <f t="array" ref="G257:K257">IFERROR(VLOOKUP(GERENCIAMENTO!$D$33&amp;ROW(A6),'ATIVIDADES E APONTAMENTOS'!$A:$F,{2,3,4,5,6},0),"Não Executar")</f>
        <v>11 - OMBREIRA</v>
      </c>
      <c r="H257" s="57" t="str">
        <v>COLAGEM</v>
      </c>
      <c r="I257" s="57" t="str">
        <v xml:space="preserve">colar o  courvin </v>
      </c>
      <c r="J257" s="57" t="str">
        <v>Gabriel</v>
      </c>
      <c r="K257" s="57">
        <v>30</v>
      </c>
      <c r="L257" s="58">
        <f t="shared" si="3"/>
        <v>0.5</v>
      </c>
    </row>
    <row r="258" spans="6:12" ht="15" customHeight="1" x14ac:dyDescent="0.45">
      <c r="F258" s="23">
        <v>7</v>
      </c>
      <c r="G258" s="57" t="str" cm="1">
        <f t="array" ref="G258:K258">IFERROR(VLOOKUP(GERENCIAMENTO!$D$33&amp;ROW(A7),'ATIVIDADES E APONTAMENTOS'!$A:$F,{2,3,4,5,6},0),"Não Executar")</f>
        <v>11 - OMBREIRA</v>
      </c>
      <c r="H258" s="57" t="str">
        <v>FINALIZAÇÃO</v>
      </c>
      <c r="I258" s="57" t="str">
        <v>Grampear as bordas do revestimento e dar o acabamento (parte superior e inferior)</v>
      </c>
      <c r="J258" s="57" t="str">
        <v>Arthur</v>
      </c>
      <c r="K258" s="57">
        <v>90</v>
      </c>
      <c r="L258" s="58">
        <f t="shared" si="3"/>
        <v>1.5</v>
      </c>
    </row>
    <row r="259" spans="6:12" ht="15" customHeight="1" x14ac:dyDescent="0.45">
      <c r="F259" s="23">
        <v>8</v>
      </c>
      <c r="G259" s="57" t="str" cm="1">
        <f t="array" ref="G259:K259">IFERROR(VLOOKUP(GERENCIAMENTO!$D$33&amp;ROW(A8),'ATIVIDADES E APONTAMENTOS'!$A:$F,{2,3,4,5,6},0),"Não Executar")</f>
        <v>11 - OMBREIRA</v>
      </c>
      <c r="H259" s="57">
        <v>0</v>
      </c>
      <c r="I259" s="57">
        <v>0</v>
      </c>
      <c r="J259" s="57" t="str">
        <v>Não Executar</v>
      </c>
      <c r="K259" s="57">
        <v>0</v>
      </c>
      <c r="L259" s="58">
        <f t="shared" ref="L259:L322" si="4">K259/60</f>
        <v>0</v>
      </c>
    </row>
    <row r="260" spans="6:12" ht="15" customHeight="1" x14ac:dyDescent="0.45">
      <c r="F260" s="23">
        <v>9</v>
      </c>
      <c r="G260" s="57" t="str" cm="1">
        <f t="array" ref="G260:K260">IFERROR(VLOOKUP(GERENCIAMENTO!$D$33&amp;ROW(A9),'ATIVIDADES E APONTAMENTOS'!$A:$F,{2,3,4,5,6},0),"Não Executar")</f>
        <v>11 - OMBREIRA</v>
      </c>
      <c r="H260" s="57">
        <v>0</v>
      </c>
      <c r="I260" s="57">
        <v>0</v>
      </c>
      <c r="J260" s="57" t="str">
        <v>Não Executar</v>
      </c>
      <c r="K260" s="57">
        <v>0</v>
      </c>
      <c r="L260" s="58">
        <f t="shared" si="4"/>
        <v>0</v>
      </c>
    </row>
    <row r="261" spans="6:12" ht="15" customHeight="1" x14ac:dyDescent="0.45">
      <c r="F261" s="23">
        <v>10</v>
      </c>
      <c r="G261" s="57" t="str" cm="1">
        <f t="array" ref="G261:K261">IFERROR(VLOOKUP(GERENCIAMENTO!$D$33&amp;ROW(A10),'ATIVIDADES E APONTAMENTOS'!$A:$F,{2,3,4,5,6},0),"Não Executar")</f>
        <v>11 - OMBREIRA</v>
      </c>
      <c r="H261" s="57">
        <v>0</v>
      </c>
      <c r="I261" s="57">
        <v>0</v>
      </c>
      <c r="J261" s="57" t="str">
        <v>Não Executar</v>
      </c>
      <c r="K261" s="57">
        <v>0</v>
      </c>
      <c r="L261" s="58">
        <f t="shared" si="4"/>
        <v>0</v>
      </c>
    </row>
    <row r="262" spans="6:12" ht="15" customHeight="1" x14ac:dyDescent="0.45">
      <c r="F262" s="23">
        <v>11</v>
      </c>
      <c r="G262" s="57" t="str" cm="1">
        <f t="array" ref="G262:K262">IFERROR(VLOOKUP(GERENCIAMENTO!$D$33&amp;ROW(A11),'ATIVIDADES E APONTAMENTOS'!$A:$F,{2,3,4,5,6},0),"Não Executar")</f>
        <v>11 - OMBREIRA</v>
      </c>
      <c r="H262" s="57">
        <v>0</v>
      </c>
      <c r="I262" s="57">
        <v>0</v>
      </c>
      <c r="J262" s="57" t="str">
        <v>Não Executar</v>
      </c>
      <c r="K262" s="57">
        <v>0</v>
      </c>
      <c r="L262" s="58">
        <f t="shared" si="4"/>
        <v>0</v>
      </c>
    </row>
    <row r="263" spans="6:12" ht="15" customHeight="1" x14ac:dyDescent="0.45">
      <c r="F263" s="23">
        <v>12</v>
      </c>
      <c r="G263" s="57" t="str" cm="1">
        <f t="array" ref="G263:K263">IFERROR(VLOOKUP(GERENCIAMENTO!$D$33&amp;ROW(A12),'ATIVIDADES E APONTAMENTOS'!$A:$F,{2,3,4,5,6},0),"Não Executar")</f>
        <v>11 - OMBREIRA</v>
      </c>
      <c r="H263" s="57">
        <v>0</v>
      </c>
      <c r="I263" s="57">
        <v>0</v>
      </c>
      <c r="J263" s="57" t="str">
        <v>Não Executar</v>
      </c>
      <c r="K263" s="57">
        <v>0</v>
      </c>
      <c r="L263" s="58">
        <f t="shared" si="4"/>
        <v>0</v>
      </c>
    </row>
    <row r="264" spans="6:12" ht="15" customHeight="1" x14ac:dyDescent="0.45">
      <c r="F264" s="23">
        <v>13</v>
      </c>
      <c r="G264" s="57" t="str" cm="1">
        <f t="array" ref="G264:K264">IFERROR(VLOOKUP(GERENCIAMENTO!$D$33&amp;ROW(A13),'ATIVIDADES E APONTAMENTOS'!$A:$F,{2,3,4,5,6},0),"Não Executar")</f>
        <v>11 - OMBREIRA</v>
      </c>
      <c r="H264" s="57">
        <v>0</v>
      </c>
      <c r="I264" s="57">
        <v>0</v>
      </c>
      <c r="J264" s="57" t="str">
        <v>Não Executar</v>
      </c>
      <c r="K264" s="57">
        <v>0</v>
      </c>
      <c r="L264" s="58">
        <f t="shared" si="4"/>
        <v>0</v>
      </c>
    </row>
    <row r="265" spans="6:12" ht="15" customHeight="1" x14ac:dyDescent="0.45">
      <c r="F265" s="23">
        <v>14</v>
      </c>
      <c r="G265" s="57" t="str" cm="1">
        <f t="array" ref="G265:K265">IFERROR(VLOOKUP(GERENCIAMENTO!$D$33&amp;ROW(A14),'ATIVIDADES E APONTAMENTOS'!$A:$F,{2,3,4,5,6},0),"Não Executar")</f>
        <v>11 - OMBREIRA</v>
      </c>
      <c r="H265" s="57">
        <v>0</v>
      </c>
      <c r="I265" s="57">
        <v>0</v>
      </c>
      <c r="J265" s="57" t="str">
        <v>Não Executar</v>
      </c>
      <c r="K265" s="57">
        <v>0</v>
      </c>
      <c r="L265" s="58">
        <f t="shared" si="4"/>
        <v>0</v>
      </c>
    </row>
    <row r="266" spans="6:12" ht="15" customHeight="1" x14ac:dyDescent="0.45">
      <c r="F266" s="23">
        <v>15</v>
      </c>
      <c r="G266" s="57" t="str" cm="1">
        <f t="array" ref="G266:K266">IFERROR(VLOOKUP(GERENCIAMENTO!$D$33&amp;ROW(A15),'ATIVIDADES E APONTAMENTOS'!$A:$F,{2,3,4,5,6},0),"Não Executar")</f>
        <v>11 - OMBREIRA</v>
      </c>
      <c r="H266" s="57">
        <v>0</v>
      </c>
      <c r="I266" s="57">
        <v>0</v>
      </c>
      <c r="J266" s="57" t="str">
        <v>Não Executar</v>
      </c>
      <c r="K266" s="57">
        <v>0</v>
      </c>
      <c r="L266" s="58">
        <f t="shared" si="4"/>
        <v>0</v>
      </c>
    </row>
    <row r="267" spans="6:12" ht="15" customHeight="1" x14ac:dyDescent="0.45">
      <c r="F267" s="23">
        <v>16</v>
      </c>
      <c r="G267" s="57" t="str" cm="1">
        <f t="array" ref="G267">IFERROR(VLOOKUP(GERENCIAMENTO!$D$33&amp;ROW(A16),'ATIVIDADES E APONTAMENTOS'!$A:$F,{2,3,4,5,6},0),"Não Executar")</f>
        <v>Não Executar</v>
      </c>
      <c r="L267" s="58">
        <f t="shared" si="4"/>
        <v>0</v>
      </c>
    </row>
    <row r="268" spans="6:12" ht="15" customHeight="1" x14ac:dyDescent="0.45">
      <c r="F268" s="23">
        <v>17</v>
      </c>
      <c r="G268" s="57" t="str" cm="1">
        <f t="array" ref="G268">IFERROR(VLOOKUP(GERENCIAMENTO!$D$33&amp;ROW(A17),'ATIVIDADES E APONTAMENTOS'!$A:$F,{2,3,4,5,6},0),"Não Executar")</f>
        <v>Não Executar</v>
      </c>
      <c r="L268" s="58">
        <f t="shared" si="4"/>
        <v>0</v>
      </c>
    </row>
    <row r="269" spans="6:12" ht="15" customHeight="1" x14ac:dyDescent="0.45">
      <c r="F269" s="23">
        <v>18</v>
      </c>
      <c r="G269" s="57" t="str" cm="1">
        <f t="array" ref="G269">IFERROR(VLOOKUP(GERENCIAMENTO!$D$33&amp;ROW(A18),'ATIVIDADES E APONTAMENTOS'!$A:$F,{2,3,4,5,6},0),"Não Executar")</f>
        <v>Não Executar</v>
      </c>
      <c r="L269" s="58">
        <f t="shared" si="4"/>
        <v>0</v>
      </c>
    </row>
    <row r="270" spans="6:12" ht="15" customHeight="1" x14ac:dyDescent="0.45">
      <c r="F270" s="23">
        <v>19</v>
      </c>
      <c r="G270" s="57" t="str" cm="1">
        <f t="array" ref="G270">IFERROR(VLOOKUP(GERENCIAMENTO!$D$33&amp;ROW(A19),'ATIVIDADES E APONTAMENTOS'!$A:$F,{2,3,4,5,6},0),"Não Executar")</f>
        <v>Não Executar</v>
      </c>
      <c r="L270" s="58">
        <f t="shared" si="4"/>
        <v>0</v>
      </c>
    </row>
    <row r="271" spans="6:12" ht="15" customHeight="1" x14ac:dyDescent="0.45">
      <c r="F271" s="23">
        <v>20</v>
      </c>
      <c r="G271" s="57" t="str" cm="1">
        <f t="array" ref="G271">IFERROR(VLOOKUP(GERENCIAMENTO!$D$33&amp;ROW(A20),'ATIVIDADES E APONTAMENTOS'!$A:$F,{2,3,4,5,6},0),"Não Executar")</f>
        <v>Não Executar</v>
      </c>
      <c r="L271" s="58">
        <f t="shared" si="4"/>
        <v>0</v>
      </c>
    </row>
    <row r="272" spans="6:12" ht="15" customHeight="1" x14ac:dyDescent="0.45">
      <c r="F272" s="23">
        <v>21</v>
      </c>
      <c r="G272" s="57" t="str" cm="1">
        <f t="array" ref="G272">IFERROR(VLOOKUP(GERENCIAMENTO!$D$33&amp;ROW(A21),'ATIVIDADES E APONTAMENTOS'!$A:$F,{2,3,4,5,6},0),"Não Executar")</f>
        <v>Não Executar</v>
      </c>
      <c r="L272" s="58">
        <f t="shared" si="4"/>
        <v>0</v>
      </c>
    </row>
    <row r="273" spans="6:12" ht="15" customHeight="1" x14ac:dyDescent="0.45">
      <c r="F273" s="23">
        <v>22</v>
      </c>
      <c r="G273" s="57" t="str" cm="1">
        <f t="array" ref="G273">IFERROR(VLOOKUP(GERENCIAMENTO!$D$33&amp;ROW(A22),'ATIVIDADES E APONTAMENTOS'!$A:$F,{2,3,4,5,6},0),"Não Executar")</f>
        <v>Não Executar</v>
      </c>
      <c r="L273" s="58">
        <f t="shared" si="4"/>
        <v>0</v>
      </c>
    </row>
    <row r="274" spans="6:12" ht="15" customHeight="1" x14ac:dyDescent="0.45">
      <c r="F274" s="23">
        <v>23</v>
      </c>
      <c r="G274" s="57" t="str" cm="1">
        <f t="array" ref="G274">IFERROR(VLOOKUP(GERENCIAMENTO!$D$33&amp;ROW(A23),'ATIVIDADES E APONTAMENTOS'!$A:$F,{2,3,4,5,6},0),"Não Executar")</f>
        <v>Não Executar</v>
      </c>
      <c r="L274" s="58">
        <f t="shared" si="4"/>
        <v>0</v>
      </c>
    </row>
    <row r="275" spans="6:12" ht="15" customHeight="1" x14ac:dyDescent="0.45">
      <c r="F275" s="23">
        <v>24</v>
      </c>
      <c r="G275" s="57" t="str" cm="1">
        <f t="array" ref="G275">IFERROR(VLOOKUP(GERENCIAMENTO!$D$33&amp;ROW(A24),'ATIVIDADES E APONTAMENTOS'!$A:$F,{2,3,4,5,6},0),"Não Executar")</f>
        <v>Não Executar</v>
      </c>
      <c r="L275" s="58">
        <f t="shared" si="4"/>
        <v>0</v>
      </c>
    </row>
    <row r="276" spans="6:12" ht="15" customHeight="1" x14ac:dyDescent="0.45">
      <c r="F276" s="23">
        <v>25</v>
      </c>
      <c r="G276" s="57" t="str" cm="1">
        <f t="array" ref="G276">IFERROR(VLOOKUP(GERENCIAMENTO!$D$33&amp;ROW(A25),'ATIVIDADES E APONTAMENTOS'!$A:$F,{2,3,4,5,6},0),"Não Executar")</f>
        <v>Não Executar</v>
      </c>
      <c r="L276" s="58">
        <f t="shared" si="4"/>
        <v>0</v>
      </c>
    </row>
    <row r="277" spans="6:12" ht="15" customHeight="1" x14ac:dyDescent="0.45">
      <c r="F277" s="59">
        <v>1</v>
      </c>
      <c r="G277" s="57" t="str" cm="1">
        <f t="array" ref="G277">IFERROR(VLOOKUP(GERENCIAMENTO!$D$34&amp;ROW(A1),'ATIVIDADES E APONTAMENTOS'!$A:$F,{2,3,4,5,6},0),"Não Executar")</f>
        <v>Não Executar</v>
      </c>
      <c r="L277" s="58">
        <f t="shared" si="4"/>
        <v>0</v>
      </c>
    </row>
    <row r="278" spans="6:12" ht="15" customHeight="1" x14ac:dyDescent="0.45">
      <c r="F278" s="59">
        <v>2</v>
      </c>
      <c r="G278" s="57" t="str" cm="1">
        <f t="array" ref="G278">IFERROR(VLOOKUP(GERENCIAMENTO!$D$34&amp;ROW(A2),'ATIVIDADES E APONTAMENTOS'!$A:$F,{2,3,4,5,6},0),"Não Executar")</f>
        <v>Não Executar</v>
      </c>
      <c r="L278" s="58">
        <f t="shared" si="4"/>
        <v>0</v>
      </c>
    </row>
    <row r="279" spans="6:12" ht="15" customHeight="1" x14ac:dyDescent="0.45">
      <c r="F279" s="59">
        <v>3</v>
      </c>
      <c r="G279" s="57" t="str" cm="1">
        <f t="array" ref="G279">IFERROR(VLOOKUP(GERENCIAMENTO!$D$34&amp;ROW(A3),'ATIVIDADES E APONTAMENTOS'!$A:$F,{2,3,4,5,6},0),"Não Executar")</f>
        <v>Não Executar</v>
      </c>
      <c r="L279" s="58">
        <f t="shared" si="4"/>
        <v>0</v>
      </c>
    </row>
    <row r="280" spans="6:12" ht="15" customHeight="1" x14ac:dyDescent="0.45">
      <c r="F280" s="59">
        <v>4</v>
      </c>
      <c r="G280" s="57" t="str" cm="1">
        <f t="array" ref="G280">IFERROR(VLOOKUP(GERENCIAMENTO!$D$34&amp;ROW(A4),'ATIVIDADES E APONTAMENTOS'!$A:$F,{2,3,4,5,6},0),"Não Executar")</f>
        <v>Não Executar</v>
      </c>
      <c r="L280" s="58">
        <f t="shared" si="4"/>
        <v>0</v>
      </c>
    </row>
    <row r="281" spans="6:12" ht="15" customHeight="1" x14ac:dyDescent="0.45">
      <c r="F281" s="59">
        <v>5</v>
      </c>
      <c r="G281" s="57" t="str" cm="1">
        <f t="array" ref="G281">IFERROR(VLOOKUP(GERENCIAMENTO!$D$34&amp;ROW(A5),'ATIVIDADES E APONTAMENTOS'!$A:$F,{2,3,4,5,6},0),"Não Executar")</f>
        <v>Não Executar</v>
      </c>
      <c r="L281" s="58">
        <f t="shared" si="4"/>
        <v>0</v>
      </c>
    </row>
    <row r="282" spans="6:12" ht="15" customHeight="1" x14ac:dyDescent="0.45">
      <c r="F282" s="59">
        <v>6</v>
      </c>
      <c r="G282" s="57" t="str" cm="1">
        <f t="array" ref="G282">IFERROR(VLOOKUP(GERENCIAMENTO!$D$34&amp;ROW(A6),'ATIVIDADES E APONTAMENTOS'!$A:$F,{2,3,4,5,6},0),"Não Executar")</f>
        <v>Não Executar</v>
      </c>
      <c r="L282" s="58">
        <f t="shared" si="4"/>
        <v>0</v>
      </c>
    </row>
    <row r="283" spans="6:12" ht="15" customHeight="1" x14ac:dyDescent="0.45">
      <c r="F283" s="59">
        <v>7</v>
      </c>
      <c r="G283" s="57" t="str" cm="1">
        <f t="array" ref="G283">IFERROR(VLOOKUP(GERENCIAMENTO!$D$34&amp;ROW(A7),'ATIVIDADES E APONTAMENTOS'!$A:$F,{2,3,4,5,6},0),"Não Executar")</f>
        <v>Não Executar</v>
      </c>
      <c r="L283" s="58">
        <f t="shared" si="4"/>
        <v>0</v>
      </c>
    </row>
    <row r="284" spans="6:12" ht="15" customHeight="1" x14ac:dyDescent="0.45">
      <c r="F284" s="59">
        <v>8</v>
      </c>
      <c r="G284" s="57" t="str" cm="1">
        <f t="array" ref="G284">IFERROR(VLOOKUP(GERENCIAMENTO!$D$34&amp;ROW(A8),'ATIVIDADES E APONTAMENTOS'!$A:$F,{2,3,4,5,6},0),"Não Executar")</f>
        <v>Não Executar</v>
      </c>
      <c r="L284" s="58">
        <f t="shared" si="4"/>
        <v>0</v>
      </c>
    </row>
    <row r="285" spans="6:12" ht="15" customHeight="1" x14ac:dyDescent="0.45">
      <c r="F285" s="59">
        <v>9</v>
      </c>
      <c r="G285" s="57" t="str" cm="1">
        <f t="array" ref="G285">IFERROR(VLOOKUP(GERENCIAMENTO!$D$34&amp;ROW(A9),'ATIVIDADES E APONTAMENTOS'!$A:$F,{2,3,4,5,6},0),"Não Executar")</f>
        <v>Não Executar</v>
      </c>
      <c r="L285" s="58">
        <f t="shared" si="4"/>
        <v>0</v>
      </c>
    </row>
    <row r="286" spans="6:12" ht="15" customHeight="1" x14ac:dyDescent="0.45">
      <c r="F286" s="59">
        <v>10</v>
      </c>
      <c r="G286" s="57" t="str" cm="1">
        <f t="array" ref="G286">IFERROR(VLOOKUP(GERENCIAMENTO!$D$34&amp;ROW(A10),'ATIVIDADES E APONTAMENTOS'!$A:$F,{2,3,4,5,6},0),"Não Executar")</f>
        <v>Não Executar</v>
      </c>
      <c r="L286" s="58">
        <f t="shared" si="4"/>
        <v>0</v>
      </c>
    </row>
    <row r="287" spans="6:12" ht="15" customHeight="1" x14ac:dyDescent="0.45">
      <c r="F287" s="59">
        <v>11</v>
      </c>
      <c r="G287" s="57" t="str" cm="1">
        <f t="array" ref="G287">IFERROR(VLOOKUP(GERENCIAMENTO!$D$34&amp;ROW(A11),'ATIVIDADES E APONTAMENTOS'!$A:$F,{2,3,4,5,6},0),"Não Executar")</f>
        <v>Não Executar</v>
      </c>
      <c r="L287" s="58">
        <f t="shared" si="4"/>
        <v>0</v>
      </c>
    </row>
    <row r="288" spans="6:12" ht="15" customHeight="1" x14ac:dyDescent="0.45">
      <c r="F288" s="59">
        <v>12</v>
      </c>
      <c r="G288" s="57" t="str" cm="1">
        <f t="array" ref="G288">IFERROR(VLOOKUP(GERENCIAMENTO!$D$34&amp;ROW(A12),'ATIVIDADES E APONTAMENTOS'!$A:$F,{2,3,4,5,6},0),"Não Executar")</f>
        <v>Não Executar</v>
      </c>
      <c r="L288" s="58">
        <f t="shared" si="4"/>
        <v>0</v>
      </c>
    </row>
    <row r="289" spans="6:12" ht="15" customHeight="1" x14ac:dyDescent="0.45">
      <c r="F289" s="59">
        <v>13</v>
      </c>
      <c r="G289" s="57" t="str" cm="1">
        <f t="array" ref="G289">IFERROR(VLOOKUP(GERENCIAMENTO!$D$34&amp;ROW(A13),'ATIVIDADES E APONTAMENTOS'!$A:$F,{2,3,4,5,6},0),"Não Executar")</f>
        <v>Não Executar</v>
      </c>
      <c r="L289" s="58">
        <f t="shared" si="4"/>
        <v>0</v>
      </c>
    </row>
    <row r="290" spans="6:12" ht="15" customHeight="1" x14ac:dyDescent="0.45">
      <c r="F290" s="59">
        <v>14</v>
      </c>
      <c r="G290" s="57" t="str" cm="1">
        <f t="array" ref="G290">IFERROR(VLOOKUP(GERENCIAMENTO!$D$34&amp;ROW(A14),'ATIVIDADES E APONTAMENTOS'!$A:$F,{2,3,4,5,6},0),"Não Executar")</f>
        <v>Não Executar</v>
      </c>
      <c r="L290" s="58">
        <f t="shared" si="4"/>
        <v>0</v>
      </c>
    </row>
    <row r="291" spans="6:12" ht="15" customHeight="1" x14ac:dyDescent="0.45">
      <c r="F291" s="59">
        <v>15</v>
      </c>
      <c r="G291" s="57" t="str" cm="1">
        <f t="array" ref="G291">IFERROR(VLOOKUP(GERENCIAMENTO!$D$34&amp;ROW(A15),'ATIVIDADES E APONTAMENTOS'!$A:$F,{2,3,4,5,6},0),"Não Executar")</f>
        <v>Não Executar</v>
      </c>
      <c r="L291" s="58">
        <f t="shared" si="4"/>
        <v>0</v>
      </c>
    </row>
    <row r="292" spans="6:12" ht="15" customHeight="1" x14ac:dyDescent="0.45">
      <c r="F292" s="59">
        <v>16</v>
      </c>
      <c r="G292" s="57" t="str" cm="1">
        <f t="array" ref="G292">IFERROR(VLOOKUP(GERENCIAMENTO!$D$34&amp;ROW(A16),'ATIVIDADES E APONTAMENTOS'!$A:$F,{2,3,4,5,6},0),"Não Executar")</f>
        <v>Não Executar</v>
      </c>
      <c r="L292" s="58">
        <f t="shared" si="4"/>
        <v>0</v>
      </c>
    </row>
    <row r="293" spans="6:12" ht="15" customHeight="1" x14ac:dyDescent="0.45">
      <c r="F293" s="59">
        <v>17</v>
      </c>
      <c r="G293" s="57" t="str" cm="1">
        <f t="array" ref="G293">IFERROR(VLOOKUP(GERENCIAMENTO!$D$34&amp;ROW(A17),'ATIVIDADES E APONTAMENTOS'!$A:$F,{2,3,4,5,6},0),"Não Executar")</f>
        <v>Não Executar</v>
      </c>
      <c r="L293" s="58">
        <f t="shared" si="4"/>
        <v>0</v>
      </c>
    </row>
    <row r="294" spans="6:12" ht="15" customHeight="1" x14ac:dyDescent="0.45">
      <c r="F294" s="59">
        <v>18</v>
      </c>
      <c r="G294" s="57" t="str" cm="1">
        <f t="array" ref="G294">IFERROR(VLOOKUP(GERENCIAMENTO!$D$34&amp;ROW(A18),'ATIVIDADES E APONTAMENTOS'!$A:$F,{2,3,4,5,6},0),"Não Executar")</f>
        <v>Não Executar</v>
      </c>
      <c r="L294" s="58">
        <f t="shared" si="4"/>
        <v>0</v>
      </c>
    </row>
    <row r="295" spans="6:12" ht="15" customHeight="1" x14ac:dyDescent="0.45">
      <c r="F295" s="59">
        <v>19</v>
      </c>
      <c r="G295" s="57" t="str" cm="1">
        <f t="array" ref="G295">IFERROR(VLOOKUP(GERENCIAMENTO!$D$34&amp;ROW(A19),'ATIVIDADES E APONTAMENTOS'!$A:$F,{2,3,4,5,6},0),"Não Executar")</f>
        <v>Não Executar</v>
      </c>
      <c r="L295" s="58">
        <f t="shared" si="4"/>
        <v>0</v>
      </c>
    </row>
    <row r="296" spans="6:12" ht="15" customHeight="1" x14ac:dyDescent="0.45">
      <c r="F296" s="59">
        <v>20</v>
      </c>
      <c r="G296" s="57" t="str" cm="1">
        <f t="array" ref="G296">IFERROR(VLOOKUP(GERENCIAMENTO!$D$34&amp;ROW(A20),'ATIVIDADES E APONTAMENTOS'!$A:$F,{2,3,4,5,6},0),"Não Executar")</f>
        <v>Não Executar</v>
      </c>
      <c r="L296" s="58">
        <f t="shared" si="4"/>
        <v>0</v>
      </c>
    </row>
    <row r="297" spans="6:12" ht="15" customHeight="1" x14ac:dyDescent="0.45">
      <c r="F297" s="59">
        <v>21</v>
      </c>
      <c r="G297" s="57" t="str" cm="1">
        <f t="array" ref="G297">IFERROR(VLOOKUP(GERENCIAMENTO!$D$34&amp;ROW(A21),'ATIVIDADES E APONTAMENTOS'!$A:$F,{2,3,4,5,6},0),"Não Executar")</f>
        <v>Não Executar</v>
      </c>
      <c r="L297" s="58">
        <f t="shared" si="4"/>
        <v>0</v>
      </c>
    </row>
    <row r="298" spans="6:12" ht="15" customHeight="1" x14ac:dyDescent="0.45">
      <c r="F298" s="59">
        <v>22</v>
      </c>
      <c r="G298" s="57" t="str" cm="1">
        <f t="array" ref="G298">IFERROR(VLOOKUP(GERENCIAMENTO!$D$34&amp;ROW(A22),'ATIVIDADES E APONTAMENTOS'!$A:$F,{2,3,4,5,6},0),"Não Executar")</f>
        <v>Não Executar</v>
      </c>
      <c r="L298" s="58">
        <f t="shared" si="4"/>
        <v>0</v>
      </c>
    </row>
    <row r="299" spans="6:12" ht="15" customHeight="1" x14ac:dyDescent="0.45">
      <c r="F299" s="59">
        <v>23</v>
      </c>
      <c r="G299" s="57" t="str" cm="1">
        <f t="array" ref="G299">IFERROR(VLOOKUP(GERENCIAMENTO!$D$34&amp;ROW(A23),'ATIVIDADES E APONTAMENTOS'!$A:$F,{2,3,4,5,6},0),"Não Executar")</f>
        <v>Não Executar</v>
      </c>
      <c r="L299" s="58">
        <f t="shared" si="4"/>
        <v>0</v>
      </c>
    </row>
    <row r="300" spans="6:12" ht="15" customHeight="1" x14ac:dyDescent="0.45">
      <c r="F300" s="59">
        <v>24</v>
      </c>
      <c r="G300" s="57" t="str" cm="1">
        <f t="array" ref="G300">IFERROR(VLOOKUP(GERENCIAMENTO!$D$34&amp;ROW(A24),'ATIVIDADES E APONTAMENTOS'!$A:$F,{2,3,4,5,6},0),"Não Executar")</f>
        <v>Não Executar</v>
      </c>
      <c r="L300" s="58">
        <f t="shared" si="4"/>
        <v>0</v>
      </c>
    </row>
    <row r="301" spans="6:12" ht="15" customHeight="1" x14ac:dyDescent="0.45">
      <c r="F301" s="59">
        <v>25</v>
      </c>
      <c r="G301" s="57" t="str" cm="1">
        <f t="array" ref="G301">IFERROR(VLOOKUP(GERENCIAMENTO!$D$34&amp;ROW(A25),'ATIVIDADES E APONTAMENTOS'!$A:$F,{2,3,4,5,6},0),"Não Executar")</f>
        <v>Não Executar</v>
      </c>
      <c r="L301" s="58">
        <f t="shared" si="4"/>
        <v>0</v>
      </c>
    </row>
    <row r="302" spans="6:12" ht="15" customHeight="1" x14ac:dyDescent="0.45">
      <c r="F302" s="23">
        <v>1</v>
      </c>
      <c r="G302" s="57" t="str" cm="1">
        <f t="array" ref="G302">IFERROR(VLOOKUP(GERENCIAMENTO!$D$35&amp;ROW(A1),'ATIVIDADES E APONTAMENTOS'!$A:$F,{2,3,4,5,6},0),"Não Executar")</f>
        <v>Não Executar</v>
      </c>
      <c r="L302" s="58">
        <f t="shared" si="4"/>
        <v>0</v>
      </c>
    </row>
    <row r="303" spans="6:12" ht="15" customHeight="1" x14ac:dyDescent="0.45">
      <c r="F303" s="23">
        <v>2</v>
      </c>
      <c r="G303" s="57" t="str" cm="1">
        <f t="array" ref="G303">IFERROR(VLOOKUP(GERENCIAMENTO!$D$35&amp;ROW(A2),'ATIVIDADES E APONTAMENTOS'!$A:$F,{2,3,4,5,6},0),"Não Executar")</f>
        <v>Não Executar</v>
      </c>
      <c r="L303" s="58">
        <f t="shared" si="4"/>
        <v>0</v>
      </c>
    </row>
    <row r="304" spans="6:12" ht="15" customHeight="1" x14ac:dyDescent="0.45">
      <c r="F304" s="23">
        <v>3</v>
      </c>
      <c r="G304" s="57" t="str" cm="1">
        <f t="array" ref="G304">IFERROR(VLOOKUP(GERENCIAMENTO!$D$35&amp;ROW(A3),'ATIVIDADES E APONTAMENTOS'!$A:$F,{2,3,4,5,6},0),"Não Executar")</f>
        <v>Não Executar</v>
      </c>
      <c r="L304" s="58">
        <f t="shared" si="4"/>
        <v>0</v>
      </c>
    </row>
    <row r="305" spans="6:12" ht="15" customHeight="1" x14ac:dyDescent="0.45">
      <c r="F305" s="23">
        <v>4</v>
      </c>
      <c r="G305" s="57" t="str" cm="1">
        <f t="array" ref="G305">IFERROR(VLOOKUP(GERENCIAMENTO!$D$35&amp;ROW(A4),'ATIVIDADES E APONTAMENTOS'!$A:$F,{2,3,4,5,6},0),"Não Executar")</f>
        <v>Não Executar</v>
      </c>
      <c r="L305" s="58">
        <f t="shared" si="4"/>
        <v>0</v>
      </c>
    </row>
    <row r="306" spans="6:12" ht="15" customHeight="1" x14ac:dyDescent="0.45">
      <c r="F306" s="23">
        <v>5</v>
      </c>
      <c r="G306" s="57" t="str" cm="1">
        <f t="array" ref="G306">IFERROR(VLOOKUP(GERENCIAMENTO!$D$35&amp;ROW(A5),'ATIVIDADES E APONTAMENTOS'!$A:$F,{2,3,4,5,6},0),"Não Executar")</f>
        <v>Não Executar</v>
      </c>
      <c r="L306" s="58">
        <f t="shared" si="4"/>
        <v>0</v>
      </c>
    </row>
    <row r="307" spans="6:12" ht="15" customHeight="1" x14ac:dyDescent="0.45">
      <c r="F307" s="23">
        <v>6</v>
      </c>
      <c r="G307" s="57" t="str" cm="1">
        <f t="array" ref="G307">IFERROR(VLOOKUP(GERENCIAMENTO!$D$35&amp;ROW(A6),'ATIVIDADES E APONTAMENTOS'!$A:$F,{2,3,4,5,6},0),"Não Executar")</f>
        <v>Não Executar</v>
      </c>
      <c r="L307" s="58">
        <f t="shared" si="4"/>
        <v>0</v>
      </c>
    </row>
    <row r="308" spans="6:12" ht="15" customHeight="1" x14ac:dyDescent="0.45">
      <c r="F308" s="23">
        <v>7</v>
      </c>
      <c r="G308" s="57" t="str" cm="1">
        <f t="array" ref="G308">IFERROR(VLOOKUP(GERENCIAMENTO!$D$35&amp;ROW(A7),'ATIVIDADES E APONTAMENTOS'!$A:$F,{2,3,4,5,6},0),"Não Executar")</f>
        <v>Não Executar</v>
      </c>
      <c r="L308" s="58">
        <f t="shared" si="4"/>
        <v>0</v>
      </c>
    </row>
    <row r="309" spans="6:12" ht="15" customHeight="1" x14ac:dyDescent="0.45">
      <c r="F309" s="23">
        <v>8</v>
      </c>
      <c r="G309" s="57" t="str" cm="1">
        <f t="array" ref="G309">IFERROR(VLOOKUP(GERENCIAMENTO!$D$35&amp;ROW(A8),'ATIVIDADES E APONTAMENTOS'!$A:$F,{2,3,4,5,6},0),"Não Executar")</f>
        <v>Não Executar</v>
      </c>
      <c r="L309" s="58">
        <f t="shared" si="4"/>
        <v>0</v>
      </c>
    </row>
    <row r="310" spans="6:12" ht="15" customHeight="1" x14ac:dyDescent="0.45">
      <c r="F310" s="23">
        <v>9</v>
      </c>
      <c r="G310" s="57" t="str" cm="1">
        <f t="array" ref="G310">IFERROR(VLOOKUP(GERENCIAMENTO!$D$35&amp;ROW(A9),'ATIVIDADES E APONTAMENTOS'!$A:$F,{2,3,4,5,6},0),"Não Executar")</f>
        <v>Não Executar</v>
      </c>
      <c r="L310" s="58">
        <f t="shared" si="4"/>
        <v>0</v>
      </c>
    </row>
    <row r="311" spans="6:12" ht="15" customHeight="1" x14ac:dyDescent="0.45">
      <c r="F311" s="23">
        <v>10</v>
      </c>
      <c r="G311" s="57" t="str" cm="1">
        <f t="array" ref="G311">IFERROR(VLOOKUP(GERENCIAMENTO!$D$35&amp;ROW(A10),'ATIVIDADES E APONTAMENTOS'!$A:$F,{2,3,4,5,6},0),"Não Executar")</f>
        <v>Não Executar</v>
      </c>
      <c r="L311" s="58">
        <f t="shared" si="4"/>
        <v>0</v>
      </c>
    </row>
    <row r="312" spans="6:12" ht="15" customHeight="1" x14ac:dyDescent="0.45">
      <c r="F312" s="23">
        <v>11</v>
      </c>
      <c r="G312" s="57" t="str" cm="1">
        <f t="array" ref="G312">IFERROR(VLOOKUP(GERENCIAMENTO!$D$35&amp;ROW(A11),'ATIVIDADES E APONTAMENTOS'!$A:$F,{2,3,4,5,6},0),"Não Executar")</f>
        <v>Não Executar</v>
      </c>
      <c r="L312" s="58">
        <f t="shared" si="4"/>
        <v>0</v>
      </c>
    </row>
    <row r="313" spans="6:12" ht="15" customHeight="1" x14ac:dyDescent="0.45">
      <c r="F313" s="23">
        <v>12</v>
      </c>
      <c r="G313" s="57" t="str" cm="1">
        <f t="array" ref="G313">IFERROR(VLOOKUP(GERENCIAMENTO!$D$35&amp;ROW(A12),'ATIVIDADES E APONTAMENTOS'!$A:$F,{2,3,4,5,6},0),"Não Executar")</f>
        <v>Não Executar</v>
      </c>
      <c r="L313" s="58">
        <f t="shared" si="4"/>
        <v>0</v>
      </c>
    </row>
    <row r="314" spans="6:12" ht="15" customHeight="1" x14ac:dyDescent="0.45">
      <c r="F314" s="23">
        <v>13</v>
      </c>
      <c r="G314" s="57" t="str" cm="1">
        <f t="array" ref="G314">IFERROR(VLOOKUP(GERENCIAMENTO!$D$35&amp;ROW(A13),'ATIVIDADES E APONTAMENTOS'!$A:$F,{2,3,4,5,6},0),"Não Executar")</f>
        <v>Não Executar</v>
      </c>
      <c r="L314" s="58">
        <f t="shared" si="4"/>
        <v>0</v>
      </c>
    </row>
    <row r="315" spans="6:12" ht="15" customHeight="1" x14ac:dyDescent="0.45">
      <c r="F315" s="23">
        <v>14</v>
      </c>
      <c r="G315" s="57" t="str" cm="1">
        <f t="array" ref="G315">IFERROR(VLOOKUP(GERENCIAMENTO!$D$35&amp;ROW(A14),'ATIVIDADES E APONTAMENTOS'!$A:$F,{2,3,4,5,6},0),"Não Executar")</f>
        <v>Não Executar</v>
      </c>
      <c r="L315" s="58">
        <f t="shared" si="4"/>
        <v>0</v>
      </c>
    </row>
    <row r="316" spans="6:12" ht="15" customHeight="1" x14ac:dyDescent="0.45">
      <c r="F316" s="23">
        <v>15</v>
      </c>
      <c r="G316" s="57" t="str" cm="1">
        <f t="array" ref="G316">IFERROR(VLOOKUP(GERENCIAMENTO!$D$35&amp;ROW(A15),'ATIVIDADES E APONTAMENTOS'!$A:$F,{2,3,4,5,6},0),"Não Executar")</f>
        <v>Não Executar</v>
      </c>
      <c r="L316" s="58">
        <f t="shared" si="4"/>
        <v>0</v>
      </c>
    </row>
    <row r="317" spans="6:12" ht="15" customHeight="1" x14ac:dyDescent="0.45">
      <c r="F317" s="23">
        <v>16</v>
      </c>
      <c r="G317" s="57" t="str" cm="1">
        <f t="array" ref="G317">IFERROR(VLOOKUP(GERENCIAMENTO!$D$35&amp;ROW(A16),'ATIVIDADES E APONTAMENTOS'!$A:$F,{2,3,4,5,6},0),"Não Executar")</f>
        <v>Não Executar</v>
      </c>
      <c r="L317" s="58">
        <f t="shared" si="4"/>
        <v>0</v>
      </c>
    </row>
    <row r="318" spans="6:12" ht="15" customHeight="1" x14ac:dyDescent="0.45">
      <c r="F318" s="23">
        <v>17</v>
      </c>
      <c r="G318" s="57" t="str" cm="1">
        <f t="array" ref="G318">IFERROR(VLOOKUP(GERENCIAMENTO!$D$35&amp;ROW(A17),'ATIVIDADES E APONTAMENTOS'!$A:$F,{2,3,4,5,6},0),"Não Executar")</f>
        <v>Não Executar</v>
      </c>
      <c r="L318" s="58">
        <f t="shared" si="4"/>
        <v>0</v>
      </c>
    </row>
    <row r="319" spans="6:12" ht="15" customHeight="1" x14ac:dyDescent="0.45">
      <c r="F319" s="23">
        <v>18</v>
      </c>
      <c r="G319" s="57" t="str" cm="1">
        <f t="array" ref="G319">IFERROR(VLOOKUP(GERENCIAMENTO!$D$35&amp;ROW(A18),'ATIVIDADES E APONTAMENTOS'!$A:$F,{2,3,4,5,6},0),"Não Executar")</f>
        <v>Não Executar</v>
      </c>
      <c r="L319" s="58">
        <f t="shared" si="4"/>
        <v>0</v>
      </c>
    </row>
    <row r="320" spans="6:12" ht="15" customHeight="1" x14ac:dyDescent="0.45">
      <c r="F320" s="23">
        <v>19</v>
      </c>
      <c r="G320" s="57" t="str" cm="1">
        <f t="array" ref="G320">IFERROR(VLOOKUP(GERENCIAMENTO!$D$35&amp;ROW(A19),'ATIVIDADES E APONTAMENTOS'!$A:$F,{2,3,4,5,6},0),"Não Executar")</f>
        <v>Não Executar</v>
      </c>
      <c r="L320" s="58">
        <f t="shared" si="4"/>
        <v>0</v>
      </c>
    </row>
    <row r="321" spans="6:12" ht="15" customHeight="1" x14ac:dyDescent="0.45">
      <c r="F321" s="23">
        <v>20</v>
      </c>
      <c r="G321" s="57" t="str" cm="1">
        <f t="array" ref="G321">IFERROR(VLOOKUP(GERENCIAMENTO!$D$35&amp;ROW(A20),'ATIVIDADES E APONTAMENTOS'!$A:$F,{2,3,4,5,6},0),"Não Executar")</f>
        <v>Não Executar</v>
      </c>
      <c r="L321" s="58">
        <f t="shared" si="4"/>
        <v>0</v>
      </c>
    </row>
    <row r="322" spans="6:12" ht="15" customHeight="1" x14ac:dyDescent="0.45">
      <c r="F322" s="23">
        <v>21</v>
      </c>
      <c r="G322" s="57" t="str" cm="1">
        <f t="array" ref="G322">IFERROR(VLOOKUP(GERENCIAMENTO!$D$35&amp;ROW(A21),'ATIVIDADES E APONTAMENTOS'!$A:$F,{2,3,4,5,6},0),"Não Executar")</f>
        <v>Não Executar</v>
      </c>
      <c r="L322" s="58">
        <f t="shared" si="4"/>
        <v>0</v>
      </c>
    </row>
    <row r="323" spans="6:12" ht="15" customHeight="1" x14ac:dyDescent="0.45">
      <c r="F323" s="23">
        <v>22</v>
      </c>
      <c r="G323" s="57" t="str" cm="1">
        <f t="array" ref="G323">IFERROR(VLOOKUP(GERENCIAMENTO!$D$35&amp;ROW(A22),'ATIVIDADES E APONTAMENTOS'!$A:$F,{2,3,4,5,6},0),"Não Executar")</f>
        <v>Não Executar</v>
      </c>
      <c r="L323" s="58">
        <f t="shared" ref="L323:L386" si="5">K323/60</f>
        <v>0</v>
      </c>
    </row>
    <row r="324" spans="6:12" ht="15" customHeight="1" x14ac:dyDescent="0.45">
      <c r="F324" s="23">
        <v>23</v>
      </c>
      <c r="G324" s="57" t="str" cm="1">
        <f t="array" ref="G324">IFERROR(VLOOKUP(GERENCIAMENTO!$D$35&amp;ROW(A23),'ATIVIDADES E APONTAMENTOS'!$A:$F,{2,3,4,5,6},0),"Não Executar")</f>
        <v>Não Executar</v>
      </c>
      <c r="L324" s="58">
        <f t="shared" si="5"/>
        <v>0</v>
      </c>
    </row>
    <row r="325" spans="6:12" ht="15" customHeight="1" x14ac:dyDescent="0.45">
      <c r="F325" s="23">
        <v>24</v>
      </c>
      <c r="G325" s="57" t="str" cm="1">
        <f t="array" ref="G325">IFERROR(VLOOKUP(GERENCIAMENTO!$D$35&amp;ROW(A24),'ATIVIDADES E APONTAMENTOS'!$A:$F,{2,3,4,5,6},0),"Não Executar")</f>
        <v>Não Executar</v>
      </c>
      <c r="L325" s="58">
        <f t="shared" si="5"/>
        <v>0</v>
      </c>
    </row>
    <row r="326" spans="6:12" ht="15" customHeight="1" x14ac:dyDescent="0.45">
      <c r="F326" s="23">
        <v>25</v>
      </c>
      <c r="G326" s="57" t="str" cm="1">
        <f t="array" ref="G326">IFERROR(VLOOKUP(GERENCIAMENTO!$D$35&amp;ROW(A25),'ATIVIDADES E APONTAMENTOS'!$A:$F,{2,3,4,5,6},0),"Não Executar")</f>
        <v>Não Executar</v>
      </c>
      <c r="L326" s="58">
        <f t="shared" si="5"/>
        <v>0</v>
      </c>
    </row>
    <row r="327" spans="6:12" ht="15" customHeight="1" x14ac:dyDescent="0.45">
      <c r="F327" s="59">
        <v>1</v>
      </c>
      <c r="G327" s="57" t="str" cm="1">
        <f t="array" ref="G327">IFERROR(VLOOKUP(GERENCIAMENTO!$D$36&amp;ROW(A1),'ATIVIDADES E APONTAMENTOS'!$A:$F,{2,3,4,5,6},0),"Não Executar")</f>
        <v>Não Executar</v>
      </c>
      <c r="L327" s="58">
        <f t="shared" si="5"/>
        <v>0</v>
      </c>
    </row>
    <row r="328" spans="6:12" ht="15" customHeight="1" x14ac:dyDescent="0.45">
      <c r="F328" s="59">
        <v>2</v>
      </c>
      <c r="G328" s="57" t="str" cm="1">
        <f t="array" ref="G328">IFERROR(VLOOKUP(GERENCIAMENTO!$D$36&amp;ROW(A2),'ATIVIDADES E APONTAMENTOS'!$A:$F,{2,3,4,5,6},0),"Não Executar")</f>
        <v>Não Executar</v>
      </c>
      <c r="L328" s="58">
        <f t="shared" si="5"/>
        <v>0</v>
      </c>
    </row>
    <row r="329" spans="6:12" ht="15" customHeight="1" x14ac:dyDescent="0.45">
      <c r="F329" s="59">
        <v>3</v>
      </c>
      <c r="G329" s="57" t="str" cm="1">
        <f t="array" ref="G329">IFERROR(VLOOKUP(GERENCIAMENTO!$D$36&amp;ROW(A3),'ATIVIDADES E APONTAMENTOS'!$A:$F,{2,3,4,5,6},0),"Não Executar")</f>
        <v>Não Executar</v>
      </c>
      <c r="L329" s="58">
        <f t="shared" si="5"/>
        <v>0</v>
      </c>
    </row>
    <row r="330" spans="6:12" ht="15" customHeight="1" x14ac:dyDescent="0.45">
      <c r="F330" s="59">
        <v>4</v>
      </c>
      <c r="G330" s="57" t="str" cm="1">
        <f t="array" ref="G330">IFERROR(VLOOKUP(GERENCIAMENTO!$D$36&amp;ROW(A4),'ATIVIDADES E APONTAMENTOS'!$A:$F,{2,3,4,5,6},0),"Não Executar")</f>
        <v>Não Executar</v>
      </c>
      <c r="L330" s="58">
        <f t="shared" si="5"/>
        <v>0</v>
      </c>
    </row>
    <row r="331" spans="6:12" ht="15" customHeight="1" x14ac:dyDescent="0.45">
      <c r="F331" s="59">
        <v>5</v>
      </c>
      <c r="G331" s="57" t="str" cm="1">
        <f t="array" ref="G331">IFERROR(VLOOKUP(GERENCIAMENTO!$D$36&amp;ROW(A5),'ATIVIDADES E APONTAMENTOS'!$A:$F,{2,3,4,5,6},0),"Não Executar")</f>
        <v>Não Executar</v>
      </c>
      <c r="L331" s="58">
        <f t="shared" si="5"/>
        <v>0</v>
      </c>
    </row>
    <row r="332" spans="6:12" ht="15" customHeight="1" x14ac:dyDescent="0.45">
      <c r="F332" s="59">
        <v>6</v>
      </c>
      <c r="G332" s="57" t="str" cm="1">
        <f t="array" ref="G332">IFERROR(VLOOKUP(GERENCIAMENTO!$D$36&amp;ROW(A6),'ATIVIDADES E APONTAMENTOS'!$A:$F,{2,3,4,5,6},0),"Não Executar")</f>
        <v>Não Executar</v>
      </c>
      <c r="L332" s="58">
        <f t="shared" si="5"/>
        <v>0</v>
      </c>
    </row>
    <row r="333" spans="6:12" ht="15" customHeight="1" x14ac:dyDescent="0.45">
      <c r="F333" s="59">
        <v>7</v>
      </c>
      <c r="G333" s="57" t="str" cm="1">
        <f t="array" ref="G333">IFERROR(VLOOKUP(GERENCIAMENTO!$D$36&amp;ROW(A7),'ATIVIDADES E APONTAMENTOS'!$A:$F,{2,3,4,5,6},0),"Não Executar")</f>
        <v>Não Executar</v>
      </c>
      <c r="L333" s="58">
        <f t="shared" si="5"/>
        <v>0</v>
      </c>
    </row>
    <row r="334" spans="6:12" ht="15" customHeight="1" x14ac:dyDescent="0.45">
      <c r="F334" s="59">
        <v>8</v>
      </c>
      <c r="G334" s="57" t="str" cm="1">
        <f t="array" ref="G334">IFERROR(VLOOKUP(GERENCIAMENTO!$D$36&amp;ROW(A8),'ATIVIDADES E APONTAMENTOS'!$A:$F,{2,3,4,5,6},0),"Não Executar")</f>
        <v>Não Executar</v>
      </c>
      <c r="L334" s="58">
        <f t="shared" si="5"/>
        <v>0</v>
      </c>
    </row>
    <row r="335" spans="6:12" ht="15" customHeight="1" x14ac:dyDescent="0.45">
      <c r="F335" s="59">
        <v>9</v>
      </c>
      <c r="G335" s="57" t="str" cm="1">
        <f t="array" ref="G335">IFERROR(VLOOKUP(GERENCIAMENTO!$D$36&amp;ROW(A9),'ATIVIDADES E APONTAMENTOS'!$A:$F,{2,3,4,5,6},0),"Não Executar")</f>
        <v>Não Executar</v>
      </c>
      <c r="L335" s="58">
        <f t="shared" si="5"/>
        <v>0</v>
      </c>
    </row>
    <row r="336" spans="6:12" ht="15" customHeight="1" x14ac:dyDescent="0.45">
      <c r="F336" s="59">
        <v>10</v>
      </c>
      <c r="G336" s="57" t="str" cm="1">
        <f t="array" ref="G336">IFERROR(VLOOKUP(GERENCIAMENTO!$D$36&amp;ROW(A10),'ATIVIDADES E APONTAMENTOS'!$A:$F,{2,3,4,5,6},0),"Não Executar")</f>
        <v>Não Executar</v>
      </c>
      <c r="L336" s="58">
        <f t="shared" si="5"/>
        <v>0</v>
      </c>
    </row>
    <row r="337" spans="6:12" ht="15" customHeight="1" x14ac:dyDescent="0.45">
      <c r="F337" s="59">
        <v>11</v>
      </c>
      <c r="G337" s="57" t="str" cm="1">
        <f t="array" ref="G337">IFERROR(VLOOKUP(GERENCIAMENTO!$D$36&amp;ROW(A11),'ATIVIDADES E APONTAMENTOS'!$A:$F,{2,3,4,5,6},0),"Não Executar")</f>
        <v>Não Executar</v>
      </c>
      <c r="L337" s="58">
        <f t="shared" si="5"/>
        <v>0</v>
      </c>
    </row>
    <row r="338" spans="6:12" ht="15" customHeight="1" x14ac:dyDescent="0.45">
      <c r="F338" s="59">
        <v>12</v>
      </c>
      <c r="G338" s="57" t="str" cm="1">
        <f t="array" ref="G338">IFERROR(VLOOKUP(GERENCIAMENTO!$D$36&amp;ROW(A12),'ATIVIDADES E APONTAMENTOS'!$A:$F,{2,3,4,5,6},0),"Não Executar")</f>
        <v>Não Executar</v>
      </c>
      <c r="L338" s="58">
        <f t="shared" si="5"/>
        <v>0</v>
      </c>
    </row>
    <row r="339" spans="6:12" ht="15" customHeight="1" x14ac:dyDescent="0.45">
      <c r="F339" s="59">
        <v>13</v>
      </c>
      <c r="G339" s="57" t="str" cm="1">
        <f t="array" ref="G339">IFERROR(VLOOKUP(GERENCIAMENTO!$D$36&amp;ROW(A13),'ATIVIDADES E APONTAMENTOS'!$A:$F,{2,3,4,5,6},0),"Não Executar")</f>
        <v>Não Executar</v>
      </c>
      <c r="L339" s="58">
        <f t="shared" si="5"/>
        <v>0</v>
      </c>
    </row>
    <row r="340" spans="6:12" ht="15" customHeight="1" x14ac:dyDescent="0.45">
      <c r="F340" s="59">
        <v>14</v>
      </c>
      <c r="G340" s="57" t="str" cm="1">
        <f t="array" ref="G340">IFERROR(VLOOKUP(GERENCIAMENTO!$D$36&amp;ROW(A14),'ATIVIDADES E APONTAMENTOS'!$A:$F,{2,3,4,5,6},0),"Não Executar")</f>
        <v>Não Executar</v>
      </c>
      <c r="L340" s="58">
        <f t="shared" si="5"/>
        <v>0</v>
      </c>
    </row>
    <row r="341" spans="6:12" ht="15" customHeight="1" x14ac:dyDescent="0.45">
      <c r="F341" s="59">
        <v>15</v>
      </c>
      <c r="G341" s="57" t="str" cm="1">
        <f t="array" ref="G341">IFERROR(VLOOKUP(GERENCIAMENTO!$D$36&amp;ROW(A15),'ATIVIDADES E APONTAMENTOS'!$A:$F,{2,3,4,5,6},0),"Não Executar")</f>
        <v>Não Executar</v>
      </c>
      <c r="L341" s="58">
        <f t="shared" si="5"/>
        <v>0</v>
      </c>
    </row>
    <row r="342" spans="6:12" ht="15" customHeight="1" x14ac:dyDescent="0.45">
      <c r="F342" s="59">
        <v>16</v>
      </c>
      <c r="G342" s="57" t="str" cm="1">
        <f t="array" ref="G342">IFERROR(VLOOKUP(GERENCIAMENTO!$D$36&amp;ROW(A16),'ATIVIDADES E APONTAMENTOS'!$A:$F,{2,3,4,5,6},0),"Não Executar")</f>
        <v>Não Executar</v>
      </c>
      <c r="L342" s="58">
        <f t="shared" si="5"/>
        <v>0</v>
      </c>
    </row>
    <row r="343" spans="6:12" ht="15" customHeight="1" x14ac:dyDescent="0.45">
      <c r="F343" s="59">
        <v>17</v>
      </c>
      <c r="G343" s="57" t="str" cm="1">
        <f t="array" ref="G343">IFERROR(VLOOKUP(GERENCIAMENTO!$D$36&amp;ROW(A17),'ATIVIDADES E APONTAMENTOS'!$A:$F,{2,3,4,5,6},0),"Não Executar")</f>
        <v>Não Executar</v>
      </c>
      <c r="L343" s="58">
        <f t="shared" si="5"/>
        <v>0</v>
      </c>
    </row>
    <row r="344" spans="6:12" ht="15" customHeight="1" x14ac:dyDescent="0.45">
      <c r="F344" s="59">
        <v>18</v>
      </c>
      <c r="G344" s="57" t="str" cm="1">
        <f t="array" ref="G344">IFERROR(VLOOKUP(GERENCIAMENTO!$D$36&amp;ROW(A18),'ATIVIDADES E APONTAMENTOS'!$A:$F,{2,3,4,5,6},0),"Não Executar")</f>
        <v>Não Executar</v>
      </c>
      <c r="L344" s="58">
        <f t="shared" si="5"/>
        <v>0</v>
      </c>
    </row>
    <row r="345" spans="6:12" ht="15" customHeight="1" x14ac:dyDescent="0.45">
      <c r="F345" s="59">
        <v>19</v>
      </c>
      <c r="G345" s="57" t="str" cm="1">
        <f t="array" ref="G345">IFERROR(VLOOKUP(GERENCIAMENTO!$D$36&amp;ROW(A19),'ATIVIDADES E APONTAMENTOS'!$A:$F,{2,3,4,5,6},0),"Não Executar")</f>
        <v>Não Executar</v>
      </c>
      <c r="L345" s="58">
        <f t="shared" si="5"/>
        <v>0</v>
      </c>
    </row>
    <row r="346" spans="6:12" ht="15" customHeight="1" x14ac:dyDescent="0.45">
      <c r="F346" s="59">
        <v>20</v>
      </c>
      <c r="G346" s="57" t="str" cm="1">
        <f t="array" ref="G346">IFERROR(VLOOKUP(GERENCIAMENTO!$D$36&amp;ROW(A20),'ATIVIDADES E APONTAMENTOS'!$A:$F,{2,3,4,5,6},0),"Não Executar")</f>
        <v>Não Executar</v>
      </c>
      <c r="L346" s="58">
        <f t="shared" si="5"/>
        <v>0</v>
      </c>
    </row>
    <row r="347" spans="6:12" ht="15" customHeight="1" x14ac:dyDescent="0.45">
      <c r="F347" s="59">
        <v>21</v>
      </c>
      <c r="G347" s="57" t="str" cm="1">
        <f t="array" ref="G347">IFERROR(VLOOKUP(GERENCIAMENTO!$D$36&amp;ROW(A21),'ATIVIDADES E APONTAMENTOS'!$A:$F,{2,3,4,5,6},0),"Não Executar")</f>
        <v>Não Executar</v>
      </c>
      <c r="L347" s="58">
        <f t="shared" si="5"/>
        <v>0</v>
      </c>
    </row>
    <row r="348" spans="6:12" ht="15" customHeight="1" x14ac:dyDescent="0.45">
      <c r="F348" s="59">
        <v>22</v>
      </c>
      <c r="G348" s="57" t="str" cm="1">
        <f t="array" ref="G348">IFERROR(VLOOKUP(GERENCIAMENTO!$D$36&amp;ROW(A22),'ATIVIDADES E APONTAMENTOS'!$A:$F,{2,3,4,5,6},0),"Não Executar")</f>
        <v>Não Executar</v>
      </c>
      <c r="L348" s="58">
        <f t="shared" si="5"/>
        <v>0</v>
      </c>
    </row>
    <row r="349" spans="6:12" ht="15" customHeight="1" x14ac:dyDescent="0.45">
      <c r="F349" s="59">
        <v>23</v>
      </c>
      <c r="G349" s="57" t="str" cm="1">
        <f t="array" ref="G349">IFERROR(VLOOKUP(GERENCIAMENTO!$D$36&amp;ROW(A23),'ATIVIDADES E APONTAMENTOS'!$A:$F,{2,3,4,5,6},0),"Não Executar")</f>
        <v>Não Executar</v>
      </c>
      <c r="L349" s="58">
        <f t="shared" si="5"/>
        <v>0</v>
      </c>
    </row>
    <row r="350" spans="6:12" ht="15" customHeight="1" x14ac:dyDescent="0.45">
      <c r="F350" s="59">
        <v>24</v>
      </c>
      <c r="G350" s="57" t="str" cm="1">
        <f t="array" ref="G350">IFERROR(VLOOKUP(GERENCIAMENTO!$D$36&amp;ROW(A24),'ATIVIDADES E APONTAMENTOS'!$A:$F,{2,3,4,5,6},0),"Não Executar")</f>
        <v>Não Executar</v>
      </c>
      <c r="L350" s="58">
        <f t="shared" si="5"/>
        <v>0</v>
      </c>
    </row>
    <row r="351" spans="6:12" ht="15" customHeight="1" x14ac:dyDescent="0.45">
      <c r="F351" s="59">
        <v>25</v>
      </c>
      <c r="G351" s="57" t="str" cm="1">
        <f t="array" ref="G351">IFERROR(VLOOKUP(GERENCIAMENTO!$D$36&amp;ROW(A25),'ATIVIDADES E APONTAMENTOS'!$A:$F,{2,3,4,5,6},0),"Não Executar")</f>
        <v>Não Executar</v>
      </c>
      <c r="L351" s="58">
        <f t="shared" si="5"/>
        <v>0</v>
      </c>
    </row>
    <row r="352" spans="6:12" ht="15" customHeight="1" x14ac:dyDescent="0.45">
      <c r="F352" s="23">
        <v>1</v>
      </c>
      <c r="G352" s="57" t="str" cm="1">
        <f t="array" ref="G352:K352">IFERROR(VLOOKUP(GERENCIAMENTO!$D$37&amp;ROW(A1),'ATIVIDADES E APONTAMENTOS'!$A:$F,{2,3,4,5,6},0),"Não Executar")</f>
        <v>15 - BANCOS DIANTEIROS</v>
      </c>
      <c r="H352" s="57" t="str">
        <v>PREPARAÇÃO</v>
      </c>
      <c r="I352" s="57" t="str">
        <v xml:space="preserve">remoção das capas </v>
      </c>
      <c r="J352" s="57" t="str">
        <v>Lohan</v>
      </c>
      <c r="K352" s="57">
        <v>50</v>
      </c>
      <c r="L352" s="58">
        <f t="shared" si="5"/>
        <v>0.83333333333333337</v>
      </c>
    </row>
    <row r="353" spans="6:12" ht="15" customHeight="1" x14ac:dyDescent="0.45">
      <c r="F353" s="23">
        <v>2</v>
      </c>
      <c r="G353" s="57" t="str" cm="1">
        <f t="array" ref="G353:K353">IFERROR(VLOOKUP(GERENCIAMENTO!$D$37&amp;ROW(A2),'ATIVIDADES E APONTAMENTOS'!$A:$F,{2,3,4,5,6},0),"Não Executar")</f>
        <v>15 - BANCOS DIANTEIROS</v>
      </c>
      <c r="H353" s="57" t="str">
        <v>PREPARAÇÃO</v>
      </c>
      <c r="I353" s="57" t="str">
        <v xml:space="preserve">revisão da estrutura </v>
      </c>
      <c r="J353" s="57" t="str">
        <v>Lohan</v>
      </c>
      <c r="K353" s="57">
        <v>30</v>
      </c>
      <c r="L353" s="58">
        <f t="shared" si="5"/>
        <v>0.5</v>
      </c>
    </row>
    <row r="354" spans="6:12" ht="15" customHeight="1" x14ac:dyDescent="0.45">
      <c r="F354" s="23">
        <v>3</v>
      </c>
      <c r="G354" s="57" t="str" cm="1">
        <f t="array" ref="G354:K354">IFERROR(VLOOKUP(GERENCIAMENTO!$D$37&amp;ROW(A3),'ATIVIDADES E APONTAMENTOS'!$A:$F,{2,3,4,5,6},0),"Não Executar")</f>
        <v>15 - BANCOS DIANTEIROS</v>
      </c>
      <c r="H354" s="57" t="str">
        <v>PINTURA</v>
      </c>
      <c r="I354" s="57" t="str">
        <v>reparo na estrutura com pintura</v>
      </c>
      <c r="J354" s="57" t="str">
        <v>Paulique</v>
      </c>
      <c r="K354" s="57">
        <v>30</v>
      </c>
      <c r="L354" s="58">
        <f t="shared" si="5"/>
        <v>0.5</v>
      </c>
    </row>
    <row r="355" spans="6:12" ht="15" customHeight="1" x14ac:dyDescent="0.45">
      <c r="F355" s="23">
        <v>4</v>
      </c>
      <c r="G355" s="57" t="str" cm="1">
        <f t="array" ref="G355:K355">IFERROR(VLOOKUP(GERENCIAMENTO!$D$37&amp;ROW(A4),'ATIVIDADES E APONTAMENTOS'!$A:$F,{2,3,4,5,6},0),"Não Executar")</f>
        <v>15 - BANCOS DIANTEIROS</v>
      </c>
      <c r="H355" s="57" t="str">
        <v>PINTURA</v>
      </c>
      <c r="I355" s="57" t="str">
        <v>Enviar peças metálicas desmontadas para pintura em Fornecedor Externo</v>
      </c>
      <c r="J355" s="57" t="str">
        <v>Paulique</v>
      </c>
      <c r="K355" s="57">
        <v>30</v>
      </c>
      <c r="L355" s="58">
        <f t="shared" si="5"/>
        <v>0.5</v>
      </c>
    </row>
    <row r="356" spans="6:12" ht="15" customHeight="1" x14ac:dyDescent="0.45">
      <c r="F356" s="23">
        <v>5</v>
      </c>
      <c r="G356" s="57" t="str" cm="1">
        <f t="array" ref="G356:K356">IFERROR(VLOOKUP(GERENCIAMENTO!$D$37&amp;ROW(A5),'ATIVIDADES E APONTAMENTOS'!$A:$F,{2,3,4,5,6},0),"Não Executar")</f>
        <v>15 - BANCOS DIANTEIROS</v>
      </c>
      <c r="H356" s="57" t="str">
        <v>PREPARAÇÃO</v>
      </c>
      <c r="I356" s="57" t="str">
        <v>Ajuste cabo de aço</v>
      </c>
      <c r="J356" s="57" t="str">
        <v>Lohan</v>
      </c>
      <c r="K356" s="57">
        <v>30</v>
      </c>
      <c r="L356" s="58">
        <f t="shared" si="5"/>
        <v>0.5</v>
      </c>
    </row>
    <row r="357" spans="6:12" ht="15" customHeight="1" x14ac:dyDescent="0.45">
      <c r="F357" s="23">
        <v>6</v>
      </c>
      <c r="G357" s="57" t="str" cm="1">
        <f t="array" ref="G357:K357">IFERROR(VLOOKUP(GERENCIAMENTO!$D$37&amp;ROW(A6),'ATIVIDADES E APONTAMENTOS'!$A:$F,{2,3,4,5,6},0),"Não Executar")</f>
        <v>15 - BANCOS DIANTEIROS</v>
      </c>
      <c r="H357" s="57" t="str">
        <v>PREPARAÇÃO</v>
      </c>
      <c r="I357" s="57" t="str">
        <v>Destravar engrenagens após pintura</v>
      </c>
      <c r="J357" s="57" t="str">
        <v>Lohan</v>
      </c>
      <c r="K357" s="57">
        <v>45</v>
      </c>
      <c r="L357" s="58">
        <f t="shared" si="5"/>
        <v>0.75</v>
      </c>
    </row>
    <row r="358" spans="6:12" ht="15" customHeight="1" x14ac:dyDescent="0.45">
      <c r="F358" s="23">
        <v>7</v>
      </c>
      <c r="G358" s="57" t="str" cm="1">
        <f t="array" ref="G358:K358">IFERROR(VLOOKUP(GERENCIAMENTO!$D$37&amp;ROW(A7),'ATIVIDADES E APONTAMENTOS'!$A:$F,{2,3,4,5,6},0),"Não Executar")</f>
        <v>15 - BANCOS DIANTEIROS</v>
      </c>
      <c r="H358" s="57" t="str">
        <v>ESPUMA</v>
      </c>
      <c r="I358" s="57" t="str">
        <v>Reparo de espuma</v>
      </c>
      <c r="J358" s="57" t="str">
        <v>Kadu</v>
      </c>
      <c r="K358" s="57">
        <v>60</v>
      </c>
      <c r="L358" s="58">
        <f t="shared" si="5"/>
        <v>1</v>
      </c>
    </row>
    <row r="359" spans="6:12" ht="15" customHeight="1" x14ac:dyDescent="0.45">
      <c r="F359" s="23">
        <v>8</v>
      </c>
      <c r="G359" s="57" t="str" cm="1">
        <f t="array" ref="G359:K359">IFERROR(VLOOKUP(GERENCIAMENTO!$D$37&amp;ROW(A8),'ATIVIDADES E APONTAMENTOS'!$A:$F,{2,3,4,5,6},0),"Não Executar")</f>
        <v>15 - BANCOS DIANTEIROS</v>
      </c>
      <c r="H359" s="57" t="str">
        <v>ESPUMA</v>
      </c>
      <c r="I359" s="57" t="str">
        <v>Aplicar espuma (assento e encosto)</v>
      </c>
      <c r="J359" s="57" t="str">
        <v>Kadu</v>
      </c>
      <c r="K359" s="57">
        <v>60</v>
      </c>
      <c r="L359" s="58">
        <f t="shared" si="5"/>
        <v>1</v>
      </c>
    </row>
    <row r="360" spans="6:12" ht="15" customHeight="1" x14ac:dyDescent="0.45">
      <c r="F360" s="23">
        <v>9</v>
      </c>
      <c r="G360" s="57" t="str" cm="1">
        <f t="array" ref="G360:K360">IFERROR(VLOOKUP(GERENCIAMENTO!$D$37&amp;ROW(A9),'ATIVIDADES E APONTAMENTOS'!$A:$F,{2,3,4,5,6},0),"Não Executar")</f>
        <v>15 - BANCOS DIANTEIROS</v>
      </c>
      <c r="H360" s="57" t="str">
        <v>CORTE</v>
      </c>
      <c r="I360" s="57" t="str">
        <v>corte do tecido com o molde Encosto/assento</v>
      </c>
      <c r="J360" s="57" t="str">
        <v>Rita</v>
      </c>
      <c r="K360" s="57">
        <v>60</v>
      </c>
      <c r="L360" s="58">
        <f t="shared" si="5"/>
        <v>1</v>
      </c>
    </row>
    <row r="361" spans="6:12" ht="15" customHeight="1" x14ac:dyDescent="0.45">
      <c r="F361" s="23">
        <v>10</v>
      </c>
      <c r="G361" s="57" t="str" cm="1">
        <f t="array" ref="G361:K361">IFERROR(VLOOKUP(GERENCIAMENTO!$D$37&amp;ROW(A10),'ATIVIDADES E APONTAMENTOS'!$A:$F,{2,3,4,5,6},0),"Não Executar")</f>
        <v>15 - BANCOS DIANTEIROS</v>
      </c>
      <c r="H361" s="57" t="str">
        <v>CORTE</v>
      </c>
      <c r="I361" s="57">
        <v>0</v>
      </c>
      <c r="J361" s="57" t="str">
        <v>Rita</v>
      </c>
      <c r="K361" s="57">
        <v>0</v>
      </c>
      <c r="L361" s="58">
        <f t="shared" si="5"/>
        <v>0</v>
      </c>
    </row>
    <row r="362" spans="6:12" ht="15" customHeight="1" x14ac:dyDescent="0.45">
      <c r="F362" s="23">
        <v>11</v>
      </c>
      <c r="G362" s="57" t="str" cm="1">
        <f t="array" ref="G362:K362">IFERROR(VLOOKUP(GERENCIAMENTO!$D$37&amp;ROW(A11),'ATIVIDADES E APONTAMENTOS'!$A:$F,{2,3,4,5,6},0),"Não Executar")</f>
        <v>15 - BANCOS DIANTEIROS</v>
      </c>
      <c r="H362" s="57" t="str">
        <v>COSTURA</v>
      </c>
      <c r="I362" s="57" t="str">
        <v>costurar peças cortadas Encosto/Assento</v>
      </c>
      <c r="J362" s="57" t="str">
        <v>Edna</v>
      </c>
      <c r="K362" s="57">
        <v>240</v>
      </c>
      <c r="L362" s="58">
        <f t="shared" si="5"/>
        <v>4</v>
      </c>
    </row>
    <row r="363" spans="6:12" ht="15" customHeight="1" x14ac:dyDescent="0.45">
      <c r="F363" s="23">
        <v>12</v>
      </c>
      <c r="G363" s="57" t="str" cm="1">
        <f t="array" ref="G363:K363">IFERROR(VLOOKUP(GERENCIAMENTO!$D$37&amp;ROW(A12),'ATIVIDADES E APONTAMENTOS'!$A:$F,{2,3,4,5,6},0),"Não Executar")</f>
        <v>15 - BANCOS DIANTEIROS</v>
      </c>
      <c r="H363" s="57" t="str">
        <v>COSTURA</v>
      </c>
      <c r="I363" s="57">
        <v>0</v>
      </c>
      <c r="J363" s="57" t="str">
        <v>Edna</v>
      </c>
      <c r="K363" s="57">
        <v>0</v>
      </c>
      <c r="L363" s="58">
        <f t="shared" si="5"/>
        <v>0</v>
      </c>
    </row>
    <row r="364" spans="6:12" ht="15" customHeight="1" x14ac:dyDescent="0.45">
      <c r="F364" s="23">
        <v>13</v>
      </c>
      <c r="G364" s="57" t="str" cm="1">
        <f t="array" ref="G364:K364">IFERROR(VLOOKUP(GERENCIAMENTO!$D$37&amp;ROW(A13),'ATIVIDADES E APONTAMENTOS'!$A:$F,{2,3,4,5,6},0),"Não Executar")</f>
        <v>15 - BANCOS DIANTEIROS</v>
      </c>
      <c r="H364" s="57" t="str">
        <v>PRÉ-MONTAGEM</v>
      </c>
      <c r="I364" s="57" t="str">
        <v>Montagem do encosto</v>
      </c>
      <c r="J364" s="57" t="str">
        <v>Kadu</v>
      </c>
      <c r="K364" s="57">
        <v>40</v>
      </c>
      <c r="L364" s="58">
        <f t="shared" si="5"/>
        <v>0.66666666666666663</v>
      </c>
    </row>
    <row r="365" spans="6:12" ht="15" customHeight="1" x14ac:dyDescent="0.45">
      <c r="F365" s="23">
        <v>14</v>
      </c>
      <c r="G365" s="57" t="str" cm="1">
        <f t="array" ref="G365:K365">IFERROR(VLOOKUP(GERENCIAMENTO!$D$37&amp;ROW(A14),'ATIVIDADES E APONTAMENTOS'!$A:$F,{2,3,4,5,6},0),"Não Executar")</f>
        <v>15 - BANCOS DIANTEIROS</v>
      </c>
      <c r="H365" s="57" t="str">
        <v>PRÉ-MONTAGEM</v>
      </c>
      <c r="I365" s="57" t="str">
        <v>Montagem do assento</v>
      </c>
      <c r="J365" s="57" t="str">
        <v>Kadu</v>
      </c>
      <c r="K365" s="57">
        <v>60</v>
      </c>
      <c r="L365" s="58">
        <f t="shared" si="5"/>
        <v>1</v>
      </c>
    </row>
    <row r="366" spans="6:12" ht="15" customHeight="1" x14ac:dyDescent="0.45">
      <c r="F366" s="23">
        <v>15</v>
      </c>
      <c r="G366" s="57" t="str" cm="1">
        <f t="array" ref="G366:K366">IFERROR(VLOOKUP(GERENCIAMENTO!$D$37&amp;ROW(A15),'ATIVIDADES E APONTAMENTOS'!$A:$F,{2,3,4,5,6},0),"Não Executar")</f>
        <v>15 - BANCOS DIANTEIROS</v>
      </c>
      <c r="H366" s="57" t="str">
        <v>PRÉ-MONTAGEM</v>
      </c>
      <c r="I366" s="57" t="str">
        <v>Montagem completa do Banco (base, chapa RECARO, acabamento laterais)</v>
      </c>
      <c r="J366" s="57" t="str">
        <v>Kadu</v>
      </c>
      <c r="K366" s="57">
        <v>90</v>
      </c>
      <c r="L366" s="58">
        <f t="shared" si="5"/>
        <v>1.5</v>
      </c>
    </row>
    <row r="367" spans="6:12" ht="15" customHeight="1" x14ac:dyDescent="0.45">
      <c r="F367" s="23">
        <v>16</v>
      </c>
      <c r="G367" s="57" t="str" cm="1">
        <f t="array" ref="G367:K367">IFERROR(VLOOKUP(GERENCIAMENTO!$D$37&amp;ROW(A16),'ATIVIDADES E APONTAMENTOS'!$A:$F,{2,3,4,5,6},0),"Não Executar")</f>
        <v>15 - BANCOS DIANTEIROS</v>
      </c>
      <c r="H367" s="57" t="str">
        <v>PRÉ-MONTAGEM</v>
      </c>
      <c r="I367" s="57">
        <v>0</v>
      </c>
      <c r="J367" s="57" t="str">
        <v>Kadu</v>
      </c>
      <c r="K367" s="57">
        <v>0</v>
      </c>
      <c r="L367" s="58">
        <f t="shared" si="5"/>
        <v>0</v>
      </c>
    </row>
    <row r="368" spans="6:12" ht="15" customHeight="1" x14ac:dyDescent="0.45">
      <c r="F368" s="23">
        <v>17</v>
      </c>
      <c r="G368" s="57" t="str" cm="1">
        <f t="array" ref="G368:K368">IFERROR(VLOOKUP(GERENCIAMENTO!$D$37&amp;ROW(A17),'ATIVIDADES E APONTAMENTOS'!$A:$F,{2,3,4,5,6},0),"Não Executar")</f>
        <v>15 - BANCOS DIANTEIROS</v>
      </c>
      <c r="H368" s="57">
        <v>0</v>
      </c>
      <c r="I368" s="57">
        <v>0</v>
      </c>
      <c r="J368" s="57" t="str">
        <v>Não Executar</v>
      </c>
      <c r="K368" s="57">
        <v>0</v>
      </c>
      <c r="L368" s="58">
        <f t="shared" si="5"/>
        <v>0</v>
      </c>
    </row>
    <row r="369" spans="6:12" ht="15" customHeight="1" x14ac:dyDescent="0.45">
      <c r="F369" s="23">
        <v>18</v>
      </c>
      <c r="G369" s="57" t="str" cm="1">
        <f t="array" ref="G369:K369">IFERROR(VLOOKUP(GERENCIAMENTO!$D$37&amp;ROW(A18),'ATIVIDADES E APONTAMENTOS'!$A:$F,{2,3,4,5,6},0),"Não Executar")</f>
        <v>15 - BANCOS DIANTEIROS</v>
      </c>
      <c r="H369" s="57">
        <v>0</v>
      </c>
      <c r="I369" s="57">
        <v>0</v>
      </c>
      <c r="J369" s="57" t="str">
        <v>Não Executar</v>
      </c>
      <c r="K369" s="57">
        <v>0</v>
      </c>
      <c r="L369" s="58">
        <f t="shared" si="5"/>
        <v>0</v>
      </c>
    </row>
    <row r="370" spans="6:12" ht="15" customHeight="1" x14ac:dyDescent="0.45">
      <c r="F370" s="23">
        <v>19</v>
      </c>
      <c r="G370" s="57" t="str" cm="1">
        <f t="array" ref="G370:K370">IFERROR(VLOOKUP(GERENCIAMENTO!$D$37&amp;ROW(A19),'ATIVIDADES E APONTAMENTOS'!$A:$F,{2,3,4,5,6},0),"Não Executar")</f>
        <v>15 - BANCOS DIANTEIROS</v>
      </c>
      <c r="H370" s="57">
        <v>0</v>
      </c>
      <c r="I370" s="57">
        <v>0</v>
      </c>
      <c r="J370" s="57" t="str">
        <v>Não Executar</v>
      </c>
      <c r="K370" s="57">
        <v>0</v>
      </c>
      <c r="L370" s="58">
        <f t="shared" si="5"/>
        <v>0</v>
      </c>
    </row>
    <row r="371" spans="6:12" ht="15" customHeight="1" x14ac:dyDescent="0.45">
      <c r="F371" s="23">
        <v>20</v>
      </c>
      <c r="G371" s="57" t="str" cm="1">
        <f t="array" ref="G371:K371">IFERROR(VLOOKUP(GERENCIAMENTO!$D$37&amp;ROW(A20),'ATIVIDADES E APONTAMENTOS'!$A:$F,{2,3,4,5,6},0),"Não Executar")</f>
        <v>15 - BANCOS DIANTEIROS</v>
      </c>
      <c r="H371" s="57">
        <v>0</v>
      </c>
      <c r="I371" s="57">
        <v>0</v>
      </c>
      <c r="J371" s="57" t="str">
        <v>Não Executar</v>
      </c>
      <c r="K371" s="57">
        <v>0</v>
      </c>
      <c r="L371" s="58">
        <f t="shared" si="5"/>
        <v>0</v>
      </c>
    </row>
    <row r="372" spans="6:12" ht="15" customHeight="1" x14ac:dyDescent="0.45">
      <c r="F372" s="23">
        <v>21</v>
      </c>
      <c r="G372" s="57" t="str" cm="1">
        <f t="array" ref="G372:K372">IFERROR(VLOOKUP(GERENCIAMENTO!$D$37&amp;ROW(A21),'ATIVIDADES E APONTAMENTOS'!$A:$F,{2,3,4,5,6},0),"Não Executar")</f>
        <v>15 - BANCOS DIANTEIROS</v>
      </c>
      <c r="H372" s="57">
        <v>0</v>
      </c>
      <c r="I372" s="57">
        <v>0</v>
      </c>
      <c r="J372" s="57" t="str">
        <v>Não Executar</v>
      </c>
      <c r="K372" s="57">
        <v>0</v>
      </c>
      <c r="L372" s="58">
        <f t="shared" si="5"/>
        <v>0</v>
      </c>
    </row>
    <row r="373" spans="6:12" ht="15" customHeight="1" x14ac:dyDescent="0.45">
      <c r="F373" s="23">
        <v>22</v>
      </c>
      <c r="G373" s="57" t="str" cm="1">
        <f t="array" ref="G373:K373">IFERROR(VLOOKUP(GERENCIAMENTO!$D$37&amp;ROW(A22),'ATIVIDADES E APONTAMENTOS'!$A:$F,{2,3,4,5,6},0),"Não Executar")</f>
        <v>15 - BANCOS DIANTEIROS</v>
      </c>
      <c r="H373" s="57">
        <v>0</v>
      </c>
      <c r="I373" s="57">
        <v>0</v>
      </c>
      <c r="J373" s="57" t="str">
        <v>Não Executar</v>
      </c>
      <c r="K373" s="57">
        <v>0</v>
      </c>
      <c r="L373" s="58">
        <f t="shared" si="5"/>
        <v>0</v>
      </c>
    </row>
    <row r="374" spans="6:12" ht="15" customHeight="1" x14ac:dyDescent="0.45">
      <c r="F374" s="23">
        <v>23</v>
      </c>
      <c r="G374" s="57" t="str" cm="1">
        <f t="array" ref="G374:K374">IFERROR(VLOOKUP(GERENCIAMENTO!$D$37&amp;ROW(A23),'ATIVIDADES E APONTAMENTOS'!$A:$F,{2,3,4,5,6},0),"Não Executar")</f>
        <v>15 - BANCOS DIANTEIROS</v>
      </c>
      <c r="H374" s="57">
        <v>0</v>
      </c>
      <c r="I374" s="57">
        <v>0</v>
      </c>
      <c r="J374" s="57" t="str">
        <v>Não Executar</v>
      </c>
      <c r="K374" s="57">
        <v>0</v>
      </c>
      <c r="L374" s="58">
        <f t="shared" si="5"/>
        <v>0</v>
      </c>
    </row>
    <row r="375" spans="6:12" ht="15" customHeight="1" x14ac:dyDescent="0.45">
      <c r="F375" s="23">
        <v>24</v>
      </c>
      <c r="G375" s="57" t="str" cm="1">
        <f t="array" ref="G375:K375">IFERROR(VLOOKUP(GERENCIAMENTO!$D$37&amp;ROW(A24),'ATIVIDADES E APONTAMENTOS'!$A:$F,{2,3,4,5,6},0),"Não Executar")</f>
        <v>15 - BANCOS DIANTEIROS</v>
      </c>
      <c r="H375" s="57">
        <v>0</v>
      </c>
      <c r="I375" s="57">
        <v>0</v>
      </c>
      <c r="J375" s="57" t="str">
        <v>Não Executar</v>
      </c>
      <c r="K375" s="57">
        <v>0</v>
      </c>
      <c r="L375" s="58">
        <f t="shared" si="5"/>
        <v>0</v>
      </c>
    </row>
    <row r="376" spans="6:12" ht="15" customHeight="1" x14ac:dyDescent="0.45">
      <c r="F376" s="23">
        <v>25</v>
      </c>
      <c r="G376" s="57" t="str" cm="1">
        <f t="array" ref="G376">IFERROR(VLOOKUP(GERENCIAMENTO!$D$37&amp;ROW(A25),'ATIVIDADES E APONTAMENTOS'!$A:$F,{2,3,4,5,6},0),"Não Executar")</f>
        <v>Não Executar</v>
      </c>
      <c r="L376" s="58">
        <f t="shared" si="5"/>
        <v>0</v>
      </c>
    </row>
    <row r="377" spans="6:12" ht="15" customHeight="1" x14ac:dyDescent="0.45">
      <c r="F377" s="59">
        <v>1</v>
      </c>
      <c r="G377" s="57" t="str" cm="1">
        <f t="array" ref="G377:K377">IFERROR(VLOOKUP(GERENCIAMENTO!$D$38&amp;ROW(A1),'ATIVIDADES E APONTAMENTOS'!$A:$F,{2,3,4,5,6},0),"Não Executar")</f>
        <v>16 - VOLANTE</v>
      </c>
      <c r="H377" s="57" t="str">
        <v>PREPARAÇÃO</v>
      </c>
      <c r="I377" s="57" t="str">
        <v>Remover revestimento</v>
      </c>
      <c r="J377" s="57" t="str">
        <v>Nikolas</v>
      </c>
      <c r="K377" s="57">
        <v>10</v>
      </c>
      <c r="L377" s="58">
        <f t="shared" si="5"/>
        <v>0.16666666666666666</v>
      </c>
    </row>
    <row r="378" spans="6:12" ht="15" customHeight="1" x14ac:dyDescent="0.45">
      <c r="F378" s="59">
        <v>2</v>
      </c>
      <c r="G378" s="57" t="str" cm="1">
        <f t="array" ref="G378:K378">IFERROR(VLOOKUP(GERENCIAMENTO!$D$38&amp;ROW(A2),'ATIVIDADES E APONTAMENTOS'!$A:$F,{2,3,4,5,6},0),"Não Executar")</f>
        <v>16 - VOLANTE</v>
      </c>
      <c r="H378" s="57" t="str">
        <v>PREPARAÇÃO</v>
      </c>
      <c r="I378" s="57" t="str">
        <v>Reparo volante (se necessário)</v>
      </c>
      <c r="J378" s="57" t="str">
        <v>Nikolas</v>
      </c>
      <c r="K378" s="57">
        <v>0</v>
      </c>
      <c r="L378" s="58">
        <f t="shared" si="5"/>
        <v>0</v>
      </c>
    </row>
    <row r="379" spans="6:12" ht="15" customHeight="1" x14ac:dyDescent="0.45">
      <c r="F379" s="59">
        <v>3</v>
      </c>
      <c r="G379" s="57" t="str" cm="1">
        <f t="array" ref="G379:K379">IFERROR(VLOOKUP(GERENCIAMENTO!$D$38&amp;ROW(A3),'ATIVIDADES E APONTAMENTOS'!$A:$F,{2,3,4,5,6},0),"Não Executar")</f>
        <v>16 - VOLANTE</v>
      </c>
      <c r="H379" s="57" t="str">
        <v>PREPARAÇÃO</v>
      </c>
      <c r="I379" s="57" t="str">
        <v>Limpar</v>
      </c>
      <c r="J379" s="57" t="str">
        <v>Nikolas</v>
      </c>
      <c r="K379" s="57">
        <v>10</v>
      </c>
      <c r="L379" s="58">
        <f t="shared" si="5"/>
        <v>0.16666666666666666</v>
      </c>
    </row>
    <row r="380" spans="6:12" ht="15" customHeight="1" x14ac:dyDescent="0.45">
      <c r="F380" s="59">
        <v>4</v>
      </c>
      <c r="G380" s="57" t="str" cm="1">
        <f t="array" ref="G380:K380">IFERROR(VLOOKUP(GERENCIAMENTO!$D$38&amp;ROW(A4),'ATIVIDADES E APONTAMENTOS'!$A:$F,{2,3,4,5,6},0),"Não Executar")</f>
        <v>16 - VOLANTE</v>
      </c>
      <c r="H380" s="57" t="str">
        <v>CORTE</v>
      </c>
      <c r="I380" s="57" t="str">
        <v>Corte couro</v>
      </c>
      <c r="J380" s="57" t="str">
        <v>Rita</v>
      </c>
      <c r="K380" s="57">
        <v>40</v>
      </c>
      <c r="L380" s="58">
        <f t="shared" si="5"/>
        <v>0.66666666666666663</v>
      </c>
    </row>
    <row r="381" spans="6:12" ht="15" customHeight="1" x14ac:dyDescent="0.45">
      <c r="F381" s="59">
        <v>5</v>
      </c>
      <c r="G381" s="57" t="str" cm="1">
        <f t="array" ref="G381:K381">IFERROR(VLOOKUP(GERENCIAMENTO!$D$38&amp;ROW(A5),'ATIVIDADES E APONTAMENTOS'!$A:$F,{2,3,4,5,6},0),"Não Executar")</f>
        <v>16 - VOLANTE</v>
      </c>
      <c r="H381" s="57" t="str">
        <v>CORTE</v>
      </c>
      <c r="I381" s="57" t="str">
        <v>Perfilar couro para dar acabamento(manualmente)</v>
      </c>
      <c r="J381" s="57" t="str">
        <v>Rita</v>
      </c>
      <c r="K381" s="57">
        <v>70</v>
      </c>
      <c r="L381" s="58">
        <f t="shared" si="5"/>
        <v>1.1666666666666667</v>
      </c>
    </row>
    <row r="382" spans="6:12" ht="15" customHeight="1" x14ac:dyDescent="0.45">
      <c r="F382" s="59">
        <v>6</v>
      </c>
      <c r="G382" s="57" t="str" cm="1">
        <f t="array" ref="G382:K382">IFERROR(VLOOKUP(GERENCIAMENTO!$D$38&amp;ROW(A6),'ATIVIDADES E APONTAMENTOS'!$A:$F,{2,3,4,5,6},0),"Não Executar")</f>
        <v>16 - VOLANTE</v>
      </c>
      <c r="H382" s="57" t="str">
        <v>APLICAÇÃO COLA</v>
      </c>
      <c r="I382" s="57" t="str">
        <v>Aplicação cola e ajuste</v>
      </c>
      <c r="J382" s="57" t="str">
        <v>Lohan</v>
      </c>
      <c r="K382" s="57">
        <v>30</v>
      </c>
      <c r="L382" s="58">
        <f t="shared" si="5"/>
        <v>0.5</v>
      </c>
    </row>
    <row r="383" spans="6:12" ht="15" customHeight="1" x14ac:dyDescent="0.45">
      <c r="F383" s="59">
        <v>7</v>
      </c>
      <c r="G383" s="57" t="str" cm="1">
        <f t="array" ref="G383:K383">IFERROR(VLOOKUP(GERENCIAMENTO!$D$38&amp;ROW(A7),'ATIVIDADES E APONTAMENTOS'!$A:$F,{2,3,4,5,6},0),"Não Executar")</f>
        <v>16 - VOLANTE</v>
      </c>
      <c r="H383" s="57" t="str">
        <v>COSTURA</v>
      </c>
      <c r="I383" s="57" t="str">
        <v>costura da borda  e Fechamento do volante</v>
      </c>
      <c r="J383" s="57" t="str">
        <v>Edna</v>
      </c>
      <c r="K383" s="57">
        <v>90</v>
      </c>
      <c r="L383" s="58">
        <f t="shared" si="5"/>
        <v>1.5</v>
      </c>
    </row>
    <row r="384" spans="6:12" ht="15" customHeight="1" x14ac:dyDescent="0.45">
      <c r="F384" s="59">
        <v>8</v>
      </c>
      <c r="G384" s="57" t="str" cm="1">
        <f t="array" ref="G384:K384">IFERROR(VLOOKUP(GERENCIAMENTO!$D$38&amp;ROW(A8),'ATIVIDADES E APONTAMENTOS'!$A:$F,{2,3,4,5,6},0),"Não Executar")</f>
        <v>16 - VOLANTE</v>
      </c>
      <c r="H384" s="57">
        <v>0</v>
      </c>
      <c r="I384" s="57">
        <v>0</v>
      </c>
      <c r="J384" s="57" t="str">
        <v>Não Executar</v>
      </c>
      <c r="K384" s="57">
        <v>0</v>
      </c>
      <c r="L384" s="58">
        <f t="shared" si="5"/>
        <v>0</v>
      </c>
    </row>
    <row r="385" spans="6:12" ht="15" customHeight="1" x14ac:dyDescent="0.45">
      <c r="F385" s="59">
        <v>9</v>
      </c>
      <c r="G385" s="57" t="str" cm="1">
        <f t="array" ref="G385:K385">IFERROR(VLOOKUP(GERENCIAMENTO!$D$38&amp;ROW(A9),'ATIVIDADES E APONTAMENTOS'!$A:$F,{2,3,4,5,6},0),"Não Executar")</f>
        <v>16 - VOLANTE</v>
      </c>
      <c r="H385" s="57">
        <v>0</v>
      </c>
      <c r="I385" s="57">
        <v>0</v>
      </c>
      <c r="J385" s="57" t="str">
        <v>Não Executar</v>
      </c>
      <c r="K385" s="57">
        <v>0</v>
      </c>
      <c r="L385" s="58">
        <f t="shared" si="5"/>
        <v>0</v>
      </c>
    </row>
    <row r="386" spans="6:12" ht="15" customHeight="1" x14ac:dyDescent="0.45">
      <c r="F386" s="59">
        <v>10</v>
      </c>
      <c r="G386" s="57" t="str" cm="1">
        <f t="array" ref="G386:K386">IFERROR(VLOOKUP(GERENCIAMENTO!$D$38&amp;ROW(A10),'ATIVIDADES E APONTAMENTOS'!$A:$F,{2,3,4,5,6},0),"Não Executar")</f>
        <v>16 - VOLANTE</v>
      </c>
      <c r="H386" s="57">
        <v>0</v>
      </c>
      <c r="I386" s="57">
        <v>0</v>
      </c>
      <c r="J386" s="57" t="str">
        <v>Não Executar</v>
      </c>
      <c r="K386" s="57">
        <v>0</v>
      </c>
      <c r="L386" s="58">
        <f t="shared" si="5"/>
        <v>0</v>
      </c>
    </row>
    <row r="387" spans="6:12" ht="15" customHeight="1" x14ac:dyDescent="0.45">
      <c r="F387" s="59">
        <v>11</v>
      </c>
      <c r="G387" s="57" t="str" cm="1">
        <f t="array" ref="G387:K387">IFERROR(VLOOKUP(GERENCIAMENTO!$D$38&amp;ROW(A11),'ATIVIDADES E APONTAMENTOS'!$A:$F,{2,3,4,5,6},0),"Não Executar")</f>
        <v>16 - VOLANTE</v>
      </c>
      <c r="H387" s="57">
        <v>0</v>
      </c>
      <c r="I387" s="57">
        <v>0</v>
      </c>
      <c r="J387" s="57" t="str">
        <v>Não Executar</v>
      </c>
      <c r="K387" s="57">
        <v>0</v>
      </c>
      <c r="L387" s="58">
        <f t="shared" ref="L387:L450" si="6">K387/60</f>
        <v>0</v>
      </c>
    </row>
    <row r="388" spans="6:12" ht="15" customHeight="1" x14ac:dyDescent="0.45">
      <c r="F388" s="59">
        <v>12</v>
      </c>
      <c r="G388" s="57" t="str" cm="1">
        <f t="array" ref="G388:K388">IFERROR(VLOOKUP(GERENCIAMENTO!$D$38&amp;ROW(A12),'ATIVIDADES E APONTAMENTOS'!$A:$F,{2,3,4,5,6},0),"Não Executar")</f>
        <v>16 - VOLANTE</v>
      </c>
      <c r="H388" s="57">
        <v>0</v>
      </c>
      <c r="I388" s="57">
        <v>0</v>
      </c>
      <c r="J388" s="57" t="str">
        <v>Não Executar</v>
      </c>
      <c r="K388" s="57">
        <v>0</v>
      </c>
      <c r="L388" s="58">
        <f t="shared" si="6"/>
        <v>0</v>
      </c>
    </row>
    <row r="389" spans="6:12" ht="15" customHeight="1" x14ac:dyDescent="0.45">
      <c r="F389" s="59">
        <v>13</v>
      </c>
      <c r="G389" s="57" t="str" cm="1">
        <f t="array" ref="G389:K389">IFERROR(VLOOKUP(GERENCIAMENTO!$D$38&amp;ROW(A13),'ATIVIDADES E APONTAMENTOS'!$A:$F,{2,3,4,5,6},0),"Não Executar")</f>
        <v>16 - VOLANTE</v>
      </c>
      <c r="H389" s="57">
        <v>0</v>
      </c>
      <c r="I389" s="57">
        <v>0</v>
      </c>
      <c r="J389" s="57" t="str">
        <v>Não Executar</v>
      </c>
      <c r="K389" s="57">
        <v>0</v>
      </c>
      <c r="L389" s="58">
        <f t="shared" si="6"/>
        <v>0</v>
      </c>
    </row>
    <row r="390" spans="6:12" ht="15" customHeight="1" x14ac:dyDescent="0.45">
      <c r="F390" s="59">
        <v>14</v>
      </c>
      <c r="G390" s="57" t="str" cm="1">
        <f t="array" ref="G390:K390">IFERROR(VLOOKUP(GERENCIAMENTO!$D$38&amp;ROW(A14),'ATIVIDADES E APONTAMENTOS'!$A:$F,{2,3,4,5,6},0),"Não Executar")</f>
        <v>16 - VOLANTE</v>
      </c>
      <c r="H390" s="57">
        <v>0</v>
      </c>
      <c r="I390" s="57">
        <v>0</v>
      </c>
      <c r="J390" s="57" t="str">
        <v>Não Executar</v>
      </c>
      <c r="K390" s="57">
        <v>0</v>
      </c>
      <c r="L390" s="58">
        <f t="shared" si="6"/>
        <v>0</v>
      </c>
    </row>
    <row r="391" spans="6:12" ht="15" customHeight="1" x14ac:dyDescent="0.45">
      <c r="F391" s="59">
        <v>15</v>
      </c>
      <c r="G391" s="57" t="str" cm="1">
        <f t="array" ref="G391">IFERROR(VLOOKUP(GERENCIAMENTO!$D$38&amp;ROW(A15),'ATIVIDADES E APONTAMENTOS'!$A:$F,{2,3,4,5,6},0),"Não Executar")</f>
        <v>Não Executar</v>
      </c>
      <c r="L391" s="58">
        <f t="shared" si="6"/>
        <v>0</v>
      </c>
    </row>
    <row r="392" spans="6:12" ht="15" customHeight="1" x14ac:dyDescent="0.45">
      <c r="F392" s="59">
        <v>16</v>
      </c>
      <c r="G392" s="57" t="str" cm="1">
        <f t="array" ref="G392">IFERROR(VLOOKUP(GERENCIAMENTO!$D$38&amp;ROW(A16),'ATIVIDADES E APONTAMENTOS'!$A:$F,{2,3,4,5,6},0),"Não Executar")</f>
        <v>Não Executar</v>
      </c>
      <c r="L392" s="58">
        <f t="shared" si="6"/>
        <v>0</v>
      </c>
    </row>
    <row r="393" spans="6:12" ht="15" customHeight="1" x14ac:dyDescent="0.45">
      <c r="F393" s="59">
        <v>17</v>
      </c>
      <c r="G393" s="57" t="str" cm="1">
        <f t="array" ref="G393">IFERROR(VLOOKUP(GERENCIAMENTO!$D$38&amp;ROW(A17),'ATIVIDADES E APONTAMENTOS'!$A:$F,{2,3,4,5,6},0),"Não Executar")</f>
        <v>Não Executar</v>
      </c>
      <c r="L393" s="58">
        <f t="shared" si="6"/>
        <v>0</v>
      </c>
    </row>
    <row r="394" spans="6:12" ht="15" customHeight="1" x14ac:dyDescent="0.45">
      <c r="F394" s="59">
        <v>18</v>
      </c>
      <c r="G394" s="57" t="str" cm="1">
        <f t="array" ref="G394">IFERROR(VLOOKUP(GERENCIAMENTO!$D$38&amp;ROW(A18),'ATIVIDADES E APONTAMENTOS'!$A:$F,{2,3,4,5,6},0),"Não Executar")</f>
        <v>Não Executar</v>
      </c>
      <c r="L394" s="58">
        <f t="shared" si="6"/>
        <v>0</v>
      </c>
    </row>
    <row r="395" spans="6:12" ht="15" customHeight="1" x14ac:dyDescent="0.45">
      <c r="F395" s="59">
        <v>19</v>
      </c>
      <c r="G395" s="57" t="str" cm="1">
        <f t="array" ref="G395">IFERROR(VLOOKUP(GERENCIAMENTO!$D$38&amp;ROW(A19),'ATIVIDADES E APONTAMENTOS'!$A:$F,{2,3,4,5,6},0),"Não Executar")</f>
        <v>Não Executar</v>
      </c>
      <c r="L395" s="58">
        <f t="shared" si="6"/>
        <v>0</v>
      </c>
    </row>
    <row r="396" spans="6:12" ht="15" customHeight="1" x14ac:dyDescent="0.45">
      <c r="F396" s="59">
        <v>20</v>
      </c>
      <c r="G396" s="57" t="str" cm="1">
        <f t="array" ref="G396">IFERROR(VLOOKUP(GERENCIAMENTO!$D$38&amp;ROW(A20),'ATIVIDADES E APONTAMENTOS'!$A:$F,{2,3,4,5,6},0),"Não Executar")</f>
        <v>Não Executar</v>
      </c>
      <c r="L396" s="58">
        <f t="shared" si="6"/>
        <v>0</v>
      </c>
    </row>
    <row r="397" spans="6:12" ht="15" customHeight="1" x14ac:dyDescent="0.45">
      <c r="F397" s="59">
        <v>21</v>
      </c>
      <c r="G397" s="57" t="str" cm="1">
        <f t="array" ref="G397">IFERROR(VLOOKUP(GERENCIAMENTO!$D$38&amp;ROW(A21),'ATIVIDADES E APONTAMENTOS'!$A:$F,{2,3,4,5,6},0),"Não Executar")</f>
        <v>Não Executar</v>
      </c>
      <c r="L397" s="58">
        <f t="shared" si="6"/>
        <v>0</v>
      </c>
    </row>
    <row r="398" spans="6:12" ht="15" customHeight="1" x14ac:dyDescent="0.45">
      <c r="F398" s="59">
        <v>22</v>
      </c>
      <c r="G398" s="57" t="str" cm="1">
        <f t="array" ref="G398">IFERROR(VLOOKUP(GERENCIAMENTO!$D$38&amp;ROW(A22),'ATIVIDADES E APONTAMENTOS'!$A:$F,{2,3,4,5,6},0),"Não Executar")</f>
        <v>Não Executar</v>
      </c>
      <c r="L398" s="58">
        <f t="shared" si="6"/>
        <v>0</v>
      </c>
    </row>
    <row r="399" spans="6:12" ht="15" customHeight="1" x14ac:dyDescent="0.45">
      <c r="F399" s="59">
        <v>23</v>
      </c>
      <c r="G399" s="57" t="str" cm="1">
        <f t="array" ref="G399">IFERROR(VLOOKUP(GERENCIAMENTO!$D$38&amp;ROW(A23),'ATIVIDADES E APONTAMENTOS'!$A:$F,{2,3,4,5,6},0),"Não Executar")</f>
        <v>Não Executar</v>
      </c>
      <c r="L399" s="58">
        <f t="shared" si="6"/>
        <v>0</v>
      </c>
    </row>
    <row r="400" spans="6:12" ht="15" customHeight="1" x14ac:dyDescent="0.45">
      <c r="F400" s="59">
        <v>24</v>
      </c>
      <c r="G400" s="57" t="str" cm="1">
        <f t="array" ref="G400">IFERROR(VLOOKUP(GERENCIAMENTO!$D$38&amp;ROW(A24),'ATIVIDADES E APONTAMENTOS'!$A:$F,{2,3,4,5,6},0),"Não Executar")</f>
        <v>Não Executar</v>
      </c>
      <c r="L400" s="58">
        <f t="shared" si="6"/>
        <v>0</v>
      </c>
    </row>
    <row r="401" spans="6:12" ht="15" customHeight="1" x14ac:dyDescent="0.45">
      <c r="F401" s="59">
        <v>25</v>
      </c>
      <c r="G401" s="57" t="str" cm="1">
        <f t="array" ref="G401">IFERROR(VLOOKUP(GERENCIAMENTO!$D$38&amp;ROW(A25),'ATIVIDADES E APONTAMENTOS'!$A:$F,{2,3,4,5,6},0),"Não Executar")</f>
        <v>Não Executar</v>
      </c>
      <c r="L401" s="58">
        <f t="shared" si="6"/>
        <v>0</v>
      </c>
    </row>
    <row r="402" spans="6:12" ht="15" customHeight="1" x14ac:dyDescent="0.45">
      <c r="F402" s="23">
        <v>1</v>
      </c>
      <c r="G402" s="57" t="str" cm="1">
        <f t="array" ref="G402">IFERROR(VLOOKUP(GERENCIAMENTO!$D$39&amp;ROW(A1),'ATIVIDADES E APONTAMENTOS'!$A:$F,{2,3,4,5,6},0),"Não Executar")</f>
        <v>Não Executar</v>
      </c>
      <c r="L402" s="58">
        <f t="shared" si="6"/>
        <v>0</v>
      </c>
    </row>
    <row r="403" spans="6:12" ht="15" customHeight="1" x14ac:dyDescent="0.45">
      <c r="F403" s="23">
        <v>2</v>
      </c>
      <c r="G403" s="57" t="str" cm="1">
        <f t="array" ref="G403">IFERROR(VLOOKUP(GERENCIAMENTO!$D$39&amp;ROW(A2),'ATIVIDADES E APONTAMENTOS'!$A:$F,{2,3,4,5,6},0),"Não Executar")</f>
        <v>Não Executar</v>
      </c>
      <c r="L403" s="58">
        <f t="shared" si="6"/>
        <v>0</v>
      </c>
    </row>
    <row r="404" spans="6:12" ht="15" customHeight="1" x14ac:dyDescent="0.45">
      <c r="F404" s="23">
        <v>3</v>
      </c>
      <c r="G404" s="57" t="str" cm="1">
        <f t="array" ref="G404">IFERROR(VLOOKUP(GERENCIAMENTO!$D$39&amp;ROW(A3),'ATIVIDADES E APONTAMENTOS'!$A:$F,{2,3,4,5,6},0),"Não Executar")</f>
        <v>Não Executar</v>
      </c>
      <c r="L404" s="58">
        <f t="shared" si="6"/>
        <v>0</v>
      </c>
    </row>
    <row r="405" spans="6:12" ht="15" customHeight="1" x14ac:dyDescent="0.45">
      <c r="F405" s="23">
        <v>4</v>
      </c>
      <c r="G405" s="57" t="str" cm="1">
        <f t="array" ref="G405">IFERROR(VLOOKUP(GERENCIAMENTO!$D$39&amp;ROW(A4),'ATIVIDADES E APONTAMENTOS'!$A:$F,{2,3,4,5,6},0),"Não Executar")</f>
        <v>Não Executar</v>
      </c>
      <c r="L405" s="58">
        <f t="shared" si="6"/>
        <v>0</v>
      </c>
    </row>
    <row r="406" spans="6:12" ht="15" customHeight="1" x14ac:dyDescent="0.45">
      <c r="F406" s="23">
        <v>5</v>
      </c>
      <c r="G406" s="57" t="str" cm="1">
        <f t="array" ref="G406">IFERROR(VLOOKUP(GERENCIAMENTO!$D$39&amp;ROW(A5),'ATIVIDADES E APONTAMENTOS'!$A:$F,{2,3,4,5,6},0),"Não Executar")</f>
        <v>Não Executar</v>
      </c>
      <c r="L406" s="58">
        <f t="shared" si="6"/>
        <v>0</v>
      </c>
    </row>
    <row r="407" spans="6:12" ht="15" customHeight="1" x14ac:dyDescent="0.45">
      <c r="F407" s="23">
        <v>6</v>
      </c>
      <c r="G407" s="57" t="str" cm="1">
        <f t="array" ref="G407">IFERROR(VLOOKUP(GERENCIAMENTO!$D$39&amp;ROW(A6),'ATIVIDADES E APONTAMENTOS'!$A:$F,{2,3,4,5,6},0),"Não Executar")</f>
        <v>Não Executar</v>
      </c>
      <c r="L407" s="58">
        <f t="shared" si="6"/>
        <v>0</v>
      </c>
    </row>
    <row r="408" spans="6:12" ht="15" customHeight="1" x14ac:dyDescent="0.45">
      <c r="F408" s="23">
        <v>7</v>
      </c>
      <c r="G408" s="57" t="str" cm="1">
        <f t="array" ref="G408">IFERROR(VLOOKUP(GERENCIAMENTO!$D$39&amp;ROW(A7),'ATIVIDADES E APONTAMENTOS'!$A:$F,{2,3,4,5,6},0),"Não Executar")</f>
        <v>Não Executar</v>
      </c>
      <c r="L408" s="58">
        <f t="shared" si="6"/>
        <v>0</v>
      </c>
    </row>
    <row r="409" spans="6:12" ht="15" customHeight="1" x14ac:dyDescent="0.45">
      <c r="F409" s="23">
        <v>8</v>
      </c>
      <c r="G409" s="57" t="str" cm="1">
        <f t="array" ref="G409">IFERROR(VLOOKUP(GERENCIAMENTO!$D$39&amp;ROW(A8),'ATIVIDADES E APONTAMENTOS'!$A:$F,{2,3,4,5,6},0),"Não Executar")</f>
        <v>Não Executar</v>
      </c>
      <c r="L409" s="58">
        <f t="shared" si="6"/>
        <v>0</v>
      </c>
    </row>
    <row r="410" spans="6:12" ht="15" customHeight="1" x14ac:dyDescent="0.45">
      <c r="F410" s="23">
        <v>9</v>
      </c>
      <c r="G410" s="57" t="str" cm="1">
        <f t="array" ref="G410">IFERROR(VLOOKUP(GERENCIAMENTO!$D$39&amp;ROW(A9),'ATIVIDADES E APONTAMENTOS'!$A:$F,{2,3,4,5,6},0),"Não Executar")</f>
        <v>Não Executar</v>
      </c>
      <c r="L410" s="58">
        <f t="shared" si="6"/>
        <v>0</v>
      </c>
    </row>
    <row r="411" spans="6:12" ht="15" customHeight="1" x14ac:dyDescent="0.45">
      <c r="F411" s="23">
        <v>10</v>
      </c>
      <c r="G411" s="57" t="str" cm="1">
        <f t="array" ref="G411">IFERROR(VLOOKUP(GERENCIAMENTO!$D$39&amp;ROW(A10),'ATIVIDADES E APONTAMENTOS'!$A:$F,{2,3,4,5,6},0),"Não Executar")</f>
        <v>Não Executar</v>
      </c>
      <c r="L411" s="58">
        <f t="shared" si="6"/>
        <v>0</v>
      </c>
    </row>
    <row r="412" spans="6:12" ht="15" customHeight="1" x14ac:dyDescent="0.45">
      <c r="F412" s="23">
        <v>11</v>
      </c>
      <c r="G412" s="57" t="str" cm="1">
        <f t="array" ref="G412">IFERROR(VLOOKUP(GERENCIAMENTO!$D$39&amp;ROW(A11),'ATIVIDADES E APONTAMENTOS'!$A:$F,{2,3,4,5,6},0),"Não Executar")</f>
        <v>Não Executar</v>
      </c>
      <c r="L412" s="58">
        <f t="shared" si="6"/>
        <v>0</v>
      </c>
    </row>
    <row r="413" spans="6:12" ht="15" customHeight="1" x14ac:dyDescent="0.45">
      <c r="F413" s="23">
        <v>12</v>
      </c>
      <c r="G413" s="57" t="str" cm="1">
        <f t="array" ref="G413">IFERROR(VLOOKUP(GERENCIAMENTO!$D$39&amp;ROW(A12),'ATIVIDADES E APONTAMENTOS'!$A:$F,{2,3,4,5,6},0),"Não Executar")</f>
        <v>Não Executar</v>
      </c>
      <c r="L413" s="58">
        <f t="shared" si="6"/>
        <v>0</v>
      </c>
    </row>
    <row r="414" spans="6:12" ht="15" customHeight="1" x14ac:dyDescent="0.45">
      <c r="F414" s="23">
        <v>13</v>
      </c>
      <c r="G414" s="57" t="str" cm="1">
        <f t="array" ref="G414">IFERROR(VLOOKUP(GERENCIAMENTO!$D$39&amp;ROW(A13),'ATIVIDADES E APONTAMENTOS'!$A:$F,{2,3,4,5,6},0),"Não Executar")</f>
        <v>Não Executar</v>
      </c>
      <c r="L414" s="58">
        <f t="shared" si="6"/>
        <v>0</v>
      </c>
    </row>
    <row r="415" spans="6:12" ht="15" customHeight="1" x14ac:dyDescent="0.45">
      <c r="F415" s="23">
        <v>14</v>
      </c>
      <c r="G415" s="57" t="str" cm="1">
        <f t="array" ref="G415">IFERROR(VLOOKUP(GERENCIAMENTO!$D$39&amp;ROW(A14),'ATIVIDADES E APONTAMENTOS'!$A:$F,{2,3,4,5,6},0),"Não Executar")</f>
        <v>Não Executar</v>
      </c>
      <c r="L415" s="58">
        <f t="shared" si="6"/>
        <v>0</v>
      </c>
    </row>
    <row r="416" spans="6:12" ht="15" customHeight="1" x14ac:dyDescent="0.45">
      <c r="F416" s="23">
        <v>15</v>
      </c>
      <c r="G416" s="57" t="str" cm="1">
        <f t="array" ref="G416">IFERROR(VLOOKUP(GERENCIAMENTO!$D$39&amp;ROW(A15),'ATIVIDADES E APONTAMENTOS'!$A:$F,{2,3,4,5,6},0),"Não Executar")</f>
        <v>Não Executar</v>
      </c>
      <c r="L416" s="58">
        <f t="shared" si="6"/>
        <v>0</v>
      </c>
    </row>
    <row r="417" spans="6:12" ht="15" customHeight="1" x14ac:dyDescent="0.45">
      <c r="F417" s="23">
        <v>16</v>
      </c>
      <c r="G417" s="57" t="str" cm="1">
        <f t="array" ref="G417">IFERROR(VLOOKUP(GERENCIAMENTO!$D$39&amp;ROW(A16),'ATIVIDADES E APONTAMENTOS'!$A:$F,{2,3,4,5,6},0),"Não Executar")</f>
        <v>Não Executar</v>
      </c>
      <c r="L417" s="58">
        <f t="shared" si="6"/>
        <v>0</v>
      </c>
    </row>
    <row r="418" spans="6:12" ht="15" customHeight="1" x14ac:dyDescent="0.45">
      <c r="F418" s="23">
        <v>17</v>
      </c>
      <c r="G418" s="57" t="str" cm="1">
        <f t="array" ref="G418">IFERROR(VLOOKUP(GERENCIAMENTO!$D$39&amp;ROW(A17),'ATIVIDADES E APONTAMENTOS'!$A:$F,{2,3,4,5,6},0),"Não Executar")</f>
        <v>Não Executar</v>
      </c>
      <c r="L418" s="58">
        <f t="shared" si="6"/>
        <v>0</v>
      </c>
    </row>
    <row r="419" spans="6:12" ht="15" customHeight="1" x14ac:dyDescent="0.45">
      <c r="F419" s="23">
        <v>18</v>
      </c>
      <c r="G419" s="57" t="str" cm="1">
        <f t="array" ref="G419">IFERROR(VLOOKUP(GERENCIAMENTO!$D$39&amp;ROW(A18),'ATIVIDADES E APONTAMENTOS'!$A:$F,{2,3,4,5,6},0),"Não Executar")</f>
        <v>Não Executar</v>
      </c>
      <c r="L419" s="58">
        <f t="shared" si="6"/>
        <v>0</v>
      </c>
    </row>
    <row r="420" spans="6:12" ht="15" customHeight="1" x14ac:dyDescent="0.45">
      <c r="F420" s="23">
        <v>19</v>
      </c>
      <c r="G420" s="57" t="str" cm="1">
        <f t="array" ref="G420">IFERROR(VLOOKUP(GERENCIAMENTO!$D$39&amp;ROW(A19),'ATIVIDADES E APONTAMENTOS'!$A:$F,{2,3,4,5,6},0),"Não Executar")</f>
        <v>Não Executar</v>
      </c>
      <c r="L420" s="58">
        <f t="shared" si="6"/>
        <v>0</v>
      </c>
    </row>
    <row r="421" spans="6:12" ht="15" customHeight="1" x14ac:dyDescent="0.45">
      <c r="F421" s="23">
        <v>20</v>
      </c>
      <c r="G421" s="57" t="str" cm="1">
        <f t="array" ref="G421">IFERROR(VLOOKUP(GERENCIAMENTO!$D$39&amp;ROW(A20),'ATIVIDADES E APONTAMENTOS'!$A:$F,{2,3,4,5,6},0),"Não Executar")</f>
        <v>Não Executar</v>
      </c>
      <c r="L421" s="58">
        <f t="shared" si="6"/>
        <v>0</v>
      </c>
    </row>
    <row r="422" spans="6:12" ht="15" customHeight="1" x14ac:dyDescent="0.45">
      <c r="F422" s="23">
        <v>21</v>
      </c>
      <c r="G422" s="57" t="str" cm="1">
        <f t="array" ref="G422">IFERROR(VLOOKUP(GERENCIAMENTO!$D$39&amp;ROW(A21),'ATIVIDADES E APONTAMENTOS'!$A:$F,{2,3,4,5,6},0),"Não Executar")</f>
        <v>Não Executar</v>
      </c>
      <c r="L422" s="58">
        <f t="shared" si="6"/>
        <v>0</v>
      </c>
    </row>
    <row r="423" spans="6:12" ht="15" customHeight="1" x14ac:dyDescent="0.45">
      <c r="F423" s="23">
        <v>22</v>
      </c>
      <c r="G423" s="57" t="str" cm="1">
        <f t="array" ref="G423">IFERROR(VLOOKUP(GERENCIAMENTO!$D$39&amp;ROW(A22),'ATIVIDADES E APONTAMENTOS'!$A:$F,{2,3,4,5,6},0),"Não Executar")</f>
        <v>Não Executar</v>
      </c>
      <c r="L423" s="58">
        <f t="shared" si="6"/>
        <v>0</v>
      </c>
    </row>
    <row r="424" spans="6:12" ht="15" customHeight="1" x14ac:dyDescent="0.45">
      <c r="F424" s="23">
        <v>23</v>
      </c>
      <c r="G424" s="57" t="str" cm="1">
        <f t="array" ref="G424">IFERROR(VLOOKUP(GERENCIAMENTO!$D$39&amp;ROW(A23),'ATIVIDADES E APONTAMENTOS'!$A:$F,{2,3,4,5,6},0),"Não Executar")</f>
        <v>Não Executar</v>
      </c>
      <c r="L424" s="58">
        <f t="shared" si="6"/>
        <v>0</v>
      </c>
    </row>
    <row r="425" spans="6:12" ht="15" customHeight="1" x14ac:dyDescent="0.45">
      <c r="F425" s="23">
        <v>24</v>
      </c>
      <c r="G425" s="57" t="str" cm="1">
        <f t="array" ref="G425">IFERROR(VLOOKUP(GERENCIAMENTO!$D$39&amp;ROW(A24),'ATIVIDADES E APONTAMENTOS'!$A:$F,{2,3,4,5,6},0),"Não Executar")</f>
        <v>Não Executar</v>
      </c>
      <c r="L425" s="58">
        <f t="shared" si="6"/>
        <v>0</v>
      </c>
    </row>
    <row r="426" spans="6:12" ht="15" customHeight="1" x14ac:dyDescent="0.45">
      <c r="F426" s="23">
        <v>25</v>
      </c>
      <c r="G426" s="57" t="str" cm="1">
        <f t="array" ref="G426">IFERROR(VLOOKUP(GERENCIAMENTO!$D$39&amp;ROW(A25),'ATIVIDADES E APONTAMENTOS'!$A:$F,{2,3,4,5,6},0),"Não Executar")</f>
        <v>Não Executar</v>
      </c>
      <c r="L426" s="58">
        <f t="shared" si="6"/>
        <v>0</v>
      </c>
    </row>
    <row r="427" spans="6:12" ht="15" customHeight="1" x14ac:dyDescent="0.45">
      <c r="F427" s="59">
        <v>1</v>
      </c>
      <c r="G427" s="57" t="str" cm="1">
        <f t="array" ref="G427">IFERROR(VLOOKUP(GERENCIAMENTO!$D$40&amp;ROW(A1),'ATIVIDADES E APONTAMENTOS'!$A:$F,{2,3,4,5,6},0),"Não Executar")</f>
        <v>Não Executar</v>
      </c>
      <c r="L427" s="58">
        <f t="shared" si="6"/>
        <v>0</v>
      </c>
    </row>
    <row r="428" spans="6:12" ht="15" customHeight="1" x14ac:dyDescent="0.45">
      <c r="F428" s="59">
        <v>2</v>
      </c>
      <c r="G428" s="57" t="str" cm="1">
        <f t="array" ref="G428">IFERROR(VLOOKUP(GERENCIAMENTO!$D$40&amp;ROW(A2),'ATIVIDADES E APONTAMENTOS'!$A:$F,{2,3,4,5,6},0),"Não Executar")</f>
        <v>Não Executar</v>
      </c>
      <c r="L428" s="58">
        <f t="shared" si="6"/>
        <v>0</v>
      </c>
    </row>
    <row r="429" spans="6:12" ht="15" customHeight="1" x14ac:dyDescent="0.45">
      <c r="F429" s="59">
        <v>3</v>
      </c>
      <c r="G429" s="57" t="str" cm="1">
        <f t="array" ref="G429">IFERROR(VLOOKUP(GERENCIAMENTO!$D$40&amp;ROW(A3),'ATIVIDADES E APONTAMENTOS'!$A:$F,{2,3,4,5,6},0),"Não Executar")</f>
        <v>Não Executar</v>
      </c>
      <c r="L429" s="58">
        <f t="shared" si="6"/>
        <v>0</v>
      </c>
    </row>
    <row r="430" spans="6:12" ht="15" customHeight="1" x14ac:dyDescent="0.45">
      <c r="F430" s="59">
        <v>4</v>
      </c>
      <c r="G430" s="57" t="str" cm="1">
        <f t="array" ref="G430">IFERROR(VLOOKUP(GERENCIAMENTO!$D$40&amp;ROW(A4),'ATIVIDADES E APONTAMENTOS'!$A:$F,{2,3,4,5,6},0),"Não Executar")</f>
        <v>Não Executar</v>
      </c>
      <c r="L430" s="58">
        <f t="shared" si="6"/>
        <v>0</v>
      </c>
    </row>
    <row r="431" spans="6:12" ht="15" customHeight="1" x14ac:dyDescent="0.45">
      <c r="F431" s="59">
        <v>5</v>
      </c>
      <c r="G431" s="57" t="str" cm="1">
        <f t="array" ref="G431">IFERROR(VLOOKUP(GERENCIAMENTO!$D$40&amp;ROW(A5),'ATIVIDADES E APONTAMENTOS'!$A:$F,{2,3,4,5,6},0),"Não Executar")</f>
        <v>Não Executar</v>
      </c>
      <c r="L431" s="58">
        <f t="shared" si="6"/>
        <v>0</v>
      </c>
    </row>
    <row r="432" spans="6:12" ht="15" customHeight="1" x14ac:dyDescent="0.45">
      <c r="F432" s="59">
        <v>6</v>
      </c>
      <c r="G432" s="57" t="str" cm="1">
        <f t="array" ref="G432">IFERROR(VLOOKUP(GERENCIAMENTO!$D$40&amp;ROW(A6),'ATIVIDADES E APONTAMENTOS'!$A:$F,{2,3,4,5,6},0),"Não Executar")</f>
        <v>Não Executar</v>
      </c>
      <c r="L432" s="58">
        <f t="shared" si="6"/>
        <v>0</v>
      </c>
    </row>
    <row r="433" spans="6:12" ht="15" customHeight="1" x14ac:dyDescent="0.45">
      <c r="F433" s="59">
        <v>7</v>
      </c>
      <c r="G433" s="57" t="str" cm="1">
        <f t="array" ref="G433">IFERROR(VLOOKUP(GERENCIAMENTO!$D$40&amp;ROW(A7),'ATIVIDADES E APONTAMENTOS'!$A:$F,{2,3,4,5,6},0),"Não Executar")</f>
        <v>Não Executar</v>
      </c>
      <c r="L433" s="58">
        <f t="shared" si="6"/>
        <v>0</v>
      </c>
    </row>
    <row r="434" spans="6:12" ht="15" customHeight="1" x14ac:dyDescent="0.45">
      <c r="F434" s="59">
        <v>8</v>
      </c>
      <c r="G434" s="57" t="str" cm="1">
        <f t="array" ref="G434">IFERROR(VLOOKUP(GERENCIAMENTO!$D$40&amp;ROW(A8),'ATIVIDADES E APONTAMENTOS'!$A:$F,{2,3,4,5,6},0),"Não Executar")</f>
        <v>Não Executar</v>
      </c>
      <c r="L434" s="58">
        <f t="shared" si="6"/>
        <v>0</v>
      </c>
    </row>
    <row r="435" spans="6:12" ht="15" customHeight="1" x14ac:dyDescent="0.45">
      <c r="F435" s="59">
        <v>9</v>
      </c>
      <c r="G435" s="57" t="str" cm="1">
        <f t="array" ref="G435">IFERROR(VLOOKUP(GERENCIAMENTO!$D$40&amp;ROW(A9),'ATIVIDADES E APONTAMENTOS'!$A:$F,{2,3,4,5,6},0),"Não Executar")</f>
        <v>Não Executar</v>
      </c>
      <c r="L435" s="58">
        <f t="shared" si="6"/>
        <v>0</v>
      </c>
    </row>
    <row r="436" spans="6:12" ht="15" customHeight="1" x14ac:dyDescent="0.45">
      <c r="F436" s="59">
        <v>10</v>
      </c>
      <c r="G436" s="57" t="str" cm="1">
        <f t="array" ref="G436">IFERROR(VLOOKUP(GERENCIAMENTO!$D$40&amp;ROW(A10),'ATIVIDADES E APONTAMENTOS'!$A:$F,{2,3,4,5,6},0),"Não Executar")</f>
        <v>Não Executar</v>
      </c>
      <c r="L436" s="58">
        <f t="shared" si="6"/>
        <v>0</v>
      </c>
    </row>
    <row r="437" spans="6:12" ht="15" customHeight="1" x14ac:dyDescent="0.45">
      <c r="F437" s="59">
        <v>11</v>
      </c>
      <c r="G437" s="57" t="str" cm="1">
        <f t="array" ref="G437">IFERROR(VLOOKUP(GERENCIAMENTO!$D$40&amp;ROW(A11),'ATIVIDADES E APONTAMENTOS'!$A:$F,{2,3,4,5,6},0),"Não Executar")</f>
        <v>Não Executar</v>
      </c>
      <c r="L437" s="58">
        <f t="shared" si="6"/>
        <v>0</v>
      </c>
    </row>
    <row r="438" spans="6:12" ht="15" customHeight="1" x14ac:dyDescent="0.45">
      <c r="F438" s="59">
        <v>12</v>
      </c>
      <c r="G438" s="57" t="str" cm="1">
        <f t="array" ref="G438">IFERROR(VLOOKUP(GERENCIAMENTO!$D$40&amp;ROW(A12),'ATIVIDADES E APONTAMENTOS'!$A:$F,{2,3,4,5,6},0),"Não Executar")</f>
        <v>Não Executar</v>
      </c>
      <c r="L438" s="58">
        <f t="shared" si="6"/>
        <v>0</v>
      </c>
    </row>
    <row r="439" spans="6:12" ht="15" customHeight="1" x14ac:dyDescent="0.45">
      <c r="F439" s="59">
        <v>13</v>
      </c>
      <c r="G439" s="57" t="str" cm="1">
        <f t="array" ref="G439">IFERROR(VLOOKUP(GERENCIAMENTO!$D$40&amp;ROW(A13),'ATIVIDADES E APONTAMENTOS'!$A:$F,{2,3,4,5,6},0),"Não Executar")</f>
        <v>Não Executar</v>
      </c>
      <c r="L439" s="58">
        <f t="shared" si="6"/>
        <v>0</v>
      </c>
    </row>
    <row r="440" spans="6:12" ht="15" customHeight="1" x14ac:dyDescent="0.45">
      <c r="F440" s="59">
        <v>14</v>
      </c>
      <c r="G440" s="57" t="str" cm="1">
        <f t="array" ref="G440">IFERROR(VLOOKUP(GERENCIAMENTO!$D$40&amp;ROW(A14),'ATIVIDADES E APONTAMENTOS'!$A:$F,{2,3,4,5,6},0),"Não Executar")</f>
        <v>Não Executar</v>
      </c>
      <c r="L440" s="58">
        <f t="shared" si="6"/>
        <v>0</v>
      </c>
    </row>
    <row r="441" spans="6:12" ht="15" customHeight="1" x14ac:dyDescent="0.45">
      <c r="F441" s="59">
        <v>15</v>
      </c>
      <c r="G441" s="57" t="str" cm="1">
        <f t="array" ref="G441">IFERROR(VLOOKUP(GERENCIAMENTO!$D$40&amp;ROW(A15),'ATIVIDADES E APONTAMENTOS'!$A:$F,{2,3,4,5,6},0),"Não Executar")</f>
        <v>Não Executar</v>
      </c>
      <c r="L441" s="58">
        <f t="shared" si="6"/>
        <v>0</v>
      </c>
    </row>
    <row r="442" spans="6:12" ht="15" customHeight="1" x14ac:dyDescent="0.45">
      <c r="F442" s="59">
        <v>16</v>
      </c>
      <c r="G442" s="57" t="str" cm="1">
        <f t="array" ref="G442">IFERROR(VLOOKUP(GERENCIAMENTO!$D$40&amp;ROW(A16),'ATIVIDADES E APONTAMENTOS'!$A:$F,{2,3,4,5,6},0),"Não Executar")</f>
        <v>Não Executar</v>
      </c>
      <c r="L442" s="58">
        <f t="shared" si="6"/>
        <v>0</v>
      </c>
    </row>
    <row r="443" spans="6:12" ht="15" customHeight="1" x14ac:dyDescent="0.45">
      <c r="F443" s="59">
        <v>17</v>
      </c>
      <c r="G443" s="57" t="str" cm="1">
        <f t="array" ref="G443">IFERROR(VLOOKUP(GERENCIAMENTO!$D$40&amp;ROW(A17),'ATIVIDADES E APONTAMENTOS'!$A:$F,{2,3,4,5,6},0),"Não Executar")</f>
        <v>Não Executar</v>
      </c>
      <c r="L443" s="58">
        <f t="shared" si="6"/>
        <v>0</v>
      </c>
    </row>
    <row r="444" spans="6:12" ht="15" customHeight="1" x14ac:dyDescent="0.45">
      <c r="F444" s="59">
        <v>18</v>
      </c>
      <c r="G444" s="57" t="str" cm="1">
        <f t="array" ref="G444">IFERROR(VLOOKUP(GERENCIAMENTO!$D$40&amp;ROW(A18),'ATIVIDADES E APONTAMENTOS'!$A:$F,{2,3,4,5,6},0),"Não Executar")</f>
        <v>Não Executar</v>
      </c>
      <c r="L444" s="58">
        <f t="shared" si="6"/>
        <v>0</v>
      </c>
    </row>
    <row r="445" spans="6:12" ht="15" customHeight="1" x14ac:dyDescent="0.45">
      <c r="F445" s="59">
        <v>19</v>
      </c>
      <c r="G445" s="57" t="str" cm="1">
        <f t="array" ref="G445">IFERROR(VLOOKUP(GERENCIAMENTO!$D$40&amp;ROW(A19),'ATIVIDADES E APONTAMENTOS'!$A:$F,{2,3,4,5,6},0),"Não Executar")</f>
        <v>Não Executar</v>
      </c>
      <c r="L445" s="58">
        <f t="shared" si="6"/>
        <v>0</v>
      </c>
    </row>
    <row r="446" spans="6:12" ht="15" customHeight="1" x14ac:dyDescent="0.45">
      <c r="F446" s="59">
        <v>20</v>
      </c>
      <c r="G446" s="57" t="str" cm="1">
        <f t="array" ref="G446">IFERROR(VLOOKUP(GERENCIAMENTO!$D$40&amp;ROW(A20),'ATIVIDADES E APONTAMENTOS'!$A:$F,{2,3,4,5,6},0),"Não Executar")</f>
        <v>Não Executar</v>
      </c>
      <c r="L446" s="58">
        <f t="shared" si="6"/>
        <v>0</v>
      </c>
    </row>
    <row r="447" spans="6:12" ht="15" customHeight="1" x14ac:dyDescent="0.45">
      <c r="F447" s="59">
        <v>21</v>
      </c>
      <c r="G447" s="57" t="str" cm="1">
        <f t="array" ref="G447">IFERROR(VLOOKUP(GERENCIAMENTO!$D$40&amp;ROW(A21),'ATIVIDADES E APONTAMENTOS'!$A:$F,{2,3,4,5,6},0),"Não Executar")</f>
        <v>Não Executar</v>
      </c>
      <c r="L447" s="58">
        <f t="shared" si="6"/>
        <v>0</v>
      </c>
    </row>
    <row r="448" spans="6:12" ht="15" customHeight="1" x14ac:dyDescent="0.45">
      <c r="F448" s="59">
        <v>22</v>
      </c>
      <c r="G448" s="57" t="str" cm="1">
        <f t="array" ref="G448">IFERROR(VLOOKUP(GERENCIAMENTO!$D$40&amp;ROW(A22),'ATIVIDADES E APONTAMENTOS'!$A:$F,{2,3,4,5,6},0),"Não Executar")</f>
        <v>Não Executar</v>
      </c>
      <c r="L448" s="58">
        <f t="shared" si="6"/>
        <v>0</v>
      </c>
    </row>
    <row r="449" spans="6:12" ht="15" customHeight="1" x14ac:dyDescent="0.45">
      <c r="F449" s="59">
        <v>23</v>
      </c>
      <c r="G449" s="57" t="str" cm="1">
        <f t="array" ref="G449">IFERROR(VLOOKUP(GERENCIAMENTO!$D$40&amp;ROW(A23),'ATIVIDADES E APONTAMENTOS'!$A:$F,{2,3,4,5,6},0),"Não Executar")</f>
        <v>Não Executar</v>
      </c>
      <c r="L449" s="58">
        <f t="shared" si="6"/>
        <v>0</v>
      </c>
    </row>
    <row r="450" spans="6:12" ht="15" customHeight="1" x14ac:dyDescent="0.45">
      <c r="F450" s="59">
        <v>24</v>
      </c>
      <c r="G450" s="57" t="str" cm="1">
        <f t="array" ref="G450">IFERROR(VLOOKUP(GERENCIAMENTO!$D$40&amp;ROW(A24),'ATIVIDADES E APONTAMENTOS'!$A:$F,{2,3,4,5,6},0),"Não Executar")</f>
        <v>Não Executar</v>
      </c>
      <c r="L450" s="58">
        <f t="shared" si="6"/>
        <v>0</v>
      </c>
    </row>
    <row r="451" spans="6:12" ht="15" customHeight="1" x14ac:dyDescent="0.45">
      <c r="F451" s="59">
        <v>25</v>
      </c>
      <c r="G451" s="57" t="str" cm="1">
        <f t="array" ref="G451">IFERROR(VLOOKUP(GERENCIAMENTO!$D$40&amp;ROW(A25),'ATIVIDADES E APONTAMENTOS'!$A:$F,{2,3,4,5,6},0),"Não Executar")</f>
        <v>Não Executar</v>
      </c>
      <c r="L451" s="58">
        <f t="shared" ref="L451:L501" si="7">K451/60</f>
        <v>0</v>
      </c>
    </row>
    <row r="452" spans="6:12" ht="15" customHeight="1" x14ac:dyDescent="0.45">
      <c r="F452" s="23">
        <v>1</v>
      </c>
      <c r="G452" s="57" t="str" cm="1">
        <f t="array" ref="G452">IFERROR(VLOOKUP(GERENCIAMENTO!$D$41&amp;ROW(A1),'ATIVIDADES E APONTAMENTOS'!$A:$F,{2,3,4,5,6},0),"Não Executar")</f>
        <v>Não Executar</v>
      </c>
      <c r="L452" s="58">
        <f t="shared" si="7"/>
        <v>0</v>
      </c>
    </row>
    <row r="453" spans="6:12" ht="15" customHeight="1" x14ac:dyDescent="0.45">
      <c r="F453" s="23">
        <v>2</v>
      </c>
      <c r="G453" s="57" t="str" cm="1">
        <f t="array" ref="G453">IFERROR(VLOOKUP(GERENCIAMENTO!$D$41&amp;ROW(A2),'ATIVIDADES E APONTAMENTOS'!$A:$F,{2,3,4,5,6},0),"Não Executar")</f>
        <v>Não Executar</v>
      </c>
      <c r="L453" s="58">
        <f t="shared" si="7"/>
        <v>0</v>
      </c>
    </row>
    <row r="454" spans="6:12" ht="15" customHeight="1" x14ac:dyDescent="0.45">
      <c r="F454" s="23">
        <v>3</v>
      </c>
      <c r="G454" s="57" t="str" cm="1">
        <f t="array" ref="G454">IFERROR(VLOOKUP(GERENCIAMENTO!$D$41&amp;ROW(A3),'ATIVIDADES E APONTAMENTOS'!$A:$F,{2,3,4,5,6},0),"Não Executar")</f>
        <v>Não Executar</v>
      </c>
      <c r="L454" s="58">
        <f t="shared" si="7"/>
        <v>0</v>
      </c>
    </row>
    <row r="455" spans="6:12" ht="15" customHeight="1" x14ac:dyDescent="0.45">
      <c r="F455" s="23">
        <v>4</v>
      </c>
      <c r="G455" s="57" t="str" cm="1">
        <f t="array" ref="G455">IFERROR(VLOOKUP(GERENCIAMENTO!$D$41&amp;ROW(A4),'ATIVIDADES E APONTAMENTOS'!$A:$F,{2,3,4,5,6},0),"Não Executar")</f>
        <v>Não Executar</v>
      </c>
      <c r="L455" s="58">
        <f t="shared" si="7"/>
        <v>0</v>
      </c>
    </row>
    <row r="456" spans="6:12" ht="15" customHeight="1" x14ac:dyDescent="0.45">
      <c r="F456" s="23">
        <v>5</v>
      </c>
      <c r="G456" s="57" t="str" cm="1">
        <f t="array" ref="G456">IFERROR(VLOOKUP(GERENCIAMENTO!$D$41&amp;ROW(A5),'ATIVIDADES E APONTAMENTOS'!$A:$F,{2,3,4,5,6},0),"Não Executar")</f>
        <v>Não Executar</v>
      </c>
      <c r="L456" s="58">
        <f t="shared" si="7"/>
        <v>0</v>
      </c>
    </row>
    <row r="457" spans="6:12" ht="15" customHeight="1" x14ac:dyDescent="0.45">
      <c r="F457" s="23">
        <v>6</v>
      </c>
      <c r="G457" s="57" t="str" cm="1">
        <f t="array" ref="G457">IFERROR(VLOOKUP(GERENCIAMENTO!$D$41&amp;ROW(A6),'ATIVIDADES E APONTAMENTOS'!$A:$F,{2,3,4,5,6},0),"Não Executar")</f>
        <v>Não Executar</v>
      </c>
      <c r="L457" s="58">
        <f t="shared" si="7"/>
        <v>0</v>
      </c>
    </row>
    <row r="458" spans="6:12" ht="15" customHeight="1" x14ac:dyDescent="0.45">
      <c r="F458" s="23">
        <v>7</v>
      </c>
      <c r="G458" s="57" t="str" cm="1">
        <f t="array" ref="G458">IFERROR(VLOOKUP(GERENCIAMENTO!$D$41&amp;ROW(A7),'ATIVIDADES E APONTAMENTOS'!$A:$F,{2,3,4,5,6},0),"Não Executar")</f>
        <v>Não Executar</v>
      </c>
      <c r="L458" s="58">
        <f t="shared" si="7"/>
        <v>0</v>
      </c>
    </row>
    <row r="459" spans="6:12" ht="15" customHeight="1" x14ac:dyDescent="0.45">
      <c r="F459" s="23">
        <v>8</v>
      </c>
      <c r="G459" s="57" t="str" cm="1">
        <f t="array" ref="G459">IFERROR(VLOOKUP(GERENCIAMENTO!$D$41&amp;ROW(A8),'ATIVIDADES E APONTAMENTOS'!$A:$F,{2,3,4,5,6},0),"Não Executar")</f>
        <v>Não Executar</v>
      </c>
      <c r="L459" s="58">
        <f t="shared" si="7"/>
        <v>0</v>
      </c>
    </row>
    <row r="460" spans="6:12" ht="15" customHeight="1" x14ac:dyDescent="0.45">
      <c r="F460" s="23">
        <v>9</v>
      </c>
      <c r="G460" s="57" t="str" cm="1">
        <f t="array" ref="G460">IFERROR(VLOOKUP(GERENCIAMENTO!$D$41&amp;ROW(A9),'ATIVIDADES E APONTAMENTOS'!$A:$F,{2,3,4,5,6},0),"Não Executar")</f>
        <v>Não Executar</v>
      </c>
      <c r="L460" s="58">
        <f t="shared" si="7"/>
        <v>0</v>
      </c>
    </row>
    <row r="461" spans="6:12" ht="15" customHeight="1" x14ac:dyDescent="0.45">
      <c r="F461" s="23">
        <v>10</v>
      </c>
      <c r="G461" s="57" t="str" cm="1">
        <f t="array" ref="G461">IFERROR(VLOOKUP(GERENCIAMENTO!$D$41&amp;ROW(A10),'ATIVIDADES E APONTAMENTOS'!$A:$F,{2,3,4,5,6},0),"Não Executar")</f>
        <v>Não Executar</v>
      </c>
      <c r="L461" s="58">
        <f t="shared" si="7"/>
        <v>0</v>
      </c>
    </row>
    <row r="462" spans="6:12" ht="15" customHeight="1" x14ac:dyDescent="0.45">
      <c r="F462" s="23">
        <v>11</v>
      </c>
      <c r="G462" s="57" t="str" cm="1">
        <f t="array" ref="G462">IFERROR(VLOOKUP(GERENCIAMENTO!$D$41&amp;ROW(A11),'ATIVIDADES E APONTAMENTOS'!$A:$F,{2,3,4,5,6},0),"Não Executar")</f>
        <v>Não Executar</v>
      </c>
      <c r="L462" s="58">
        <f t="shared" si="7"/>
        <v>0</v>
      </c>
    </row>
    <row r="463" spans="6:12" ht="15" customHeight="1" x14ac:dyDescent="0.45">
      <c r="F463" s="23">
        <v>12</v>
      </c>
      <c r="G463" s="57" t="str" cm="1">
        <f t="array" ref="G463">IFERROR(VLOOKUP(GERENCIAMENTO!$D$41&amp;ROW(A12),'ATIVIDADES E APONTAMENTOS'!$A:$F,{2,3,4,5,6},0),"Não Executar")</f>
        <v>Não Executar</v>
      </c>
      <c r="L463" s="58">
        <f t="shared" si="7"/>
        <v>0</v>
      </c>
    </row>
    <row r="464" spans="6:12" ht="15" customHeight="1" x14ac:dyDescent="0.45">
      <c r="F464" s="23">
        <v>13</v>
      </c>
      <c r="G464" s="57" t="str" cm="1">
        <f t="array" ref="G464">IFERROR(VLOOKUP(GERENCIAMENTO!$D$41&amp;ROW(A13),'ATIVIDADES E APONTAMENTOS'!$A:$F,{2,3,4,5,6},0),"Não Executar")</f>
        <v>Não Executar</v>
      </c>
      <c r="L464" s="58">
        <f t="shared" si="7"/>
        <v>0</v>
      </c>
    </row>
    <row r="465" spans="6:12" ht="15" customHeight="1" x14ac:dyDescent="0.45">
      <c r="F465" s="23">
        <v>14</v>
      </c>
      <c r="G465" s="57" t="str" cm="1">
        <f t="array" ref="G465">IFERROR(VLOOKUP(GERENCIAMENTO!$D$41&amp;ROW(A14),'ATIVIDADES E APONTAMENTOS'!$A:$F,{2,3,4,5,6},0),"Não Executar")</f>
        <v>Não Executar</v>
      </c>
      <c r="L465" s="58">
        <f t="shared" si="7"/>
        <v>0</v>
      </c>
    </row>
    <row r="466" spans="6:12" ht="15" customHeight="1" x14ac:dyDescent="0.45">
      <c r="F466" s="23">
        <v>15</v>
      </c>
      <c r="G466" s="57" t="str" cm="1">
        <f t="array" ref="G466">IFERROR(VLOOKUP(GERENCIAMENTO!$D$41&amp;ROW(A15),'ATIVIDADES E APONTAMENTOS'!$A:$F,{2,3,4,5,6},0),"Não Executar")</f>
        <v>Não Executar</v>
      </c>
      <c r="L466" s="58">
        <f t="shared" si="7"/>
        <v>0</v>
      </c>
    </row>
    <row r="467" spans="6:12" ht="15" customHeight="1" x14ac:dyDescent="0.45">
      <c r="F467" s="23">
        <v>16</v>
      </c>
      <c r="G467" s="57" t="str" cm="1">
        <f t="array" ref="G467">IFERROR(VLOOKUP(GERENCIAMENTO!$D$41&amp;ROW(A16),'ATIVIDADES E APONTAMENTOS'!$A:$F,{2,3,4,5,6},0),"Não Executar")</f>
        <v>Não Executar</v>
      </c>
      <c r="L467" s="58">
        <f t="shared" si="7"/>
        <v>0</v>
      </c>
    </row>
    <row r="468" spans="6:12" ht="15" customHeight="1" x14ac:dyDescent="0.45">
      <c r="F468" s="23">
        <v>17</v>
      </c>
      <c r="G468" s="57" t="str" cm="1">
        <f t="array" ref="G468">IFERROR(VLOOKUP(GERENCIAMENTO!$D$41&amp;ROW(A17),'ATIVIDADES E APONTAMENTOS'!$A:$F,{2,3,4,5,6},0),"Não Executar")</f>
        <v>Não Executar</v>
      </c>
      <c r="L468" s="58">
        <f t="shared" si="7"/>
        <v>0</v>
      </c>
    </row>
    <row r="469" spans="6:12" ht="15" customHeight="1" x14ac:dyDescent="0.45">
      <c r="F469" s="23">
        <v>18</v>
      </c>
      <c r="G469" s="57" t="str" cm="1">
        <f t="array" ref="G469">IFERROR(VLOOKUP(GERENCIAMENTO!$D$41&amp;ROW(A18),'ATIVIDADES E APONTAMENTOS'!$A:$F,{2,3,4,5,6},0),"Não Executar")</f>
        <v>Não Executar</v>
      </c>
      <c r="L469" s="58">
        <f t="shared" si="7"/>
        <v>0</v>
      </c>
    </row>
    <row r="470" spans="6:12" ht="15" customHeight="1" x14ac:dyDescent="0.45">
      <c r="F470" s="23">
        <v>19</v>
      </c>
      <c r="G470" s="57" t="str" cm="1">
        <f t="array" ref="G470">IFERROR(VLOOKUP(GERENCIAMENTO!$D$41&amp;ROW(A19),'ATIVIDADES E APONTAMENTOS'!$A:$F,{2,3,4,5,6},0),"Não Executar")</f>
        <v>Não Executar</v>
      </c>
      <c r="L470" s="58">
        <f t="shared" si="7"/>
        <v>0</v>
      </c>
    </row>
    <row r="471" spans="6:12" ht="15" customHeight="1" x14ac:dyDescent="0.45">
      <c r="F471" s="23">
        <v>20</v>
      </c>
      <c r="G471" s="57" t="str" cm="1">
        <f t="array" ref="G471">IFERROR(VLOOKUP(GERENCIAMENTO!$D$41&amp;ROW(A20),'ATIVIDADES E APONTAMENTOS'!$A:$F,{2,3,4,5,6},0),"Não Executar")</f>
        <v>Não Executar</v>
      </c>
      <c r="L471" s="58">
        <f t="shared" si="7"/>
        <v>0</v>
      </c>
    </row>
    <row r="472" spans="6:12" ht="15" customHeight="1" x14ac:dyDescent="0.45">
      <c r="F472" s="23">
        <v>21</v>
      </c>
      <c r="G472" s="57" t="str" cm="1">
        <f t="array" ref="G472">IFERROR(VLOOKUP(GERENCIAMENTO!$D$41&amp;ROW(A21),'ATIVIDADES E APONTAMENTOS'!$A:$F,{2,3,4,5,6},0),"Não Executar")</f>
        <v>Não Executar</v>
      </c>
      <c r="L472" s="58">
        <f t="shared" si="7"/>
        <v>0</v>
      </c>
    </row>
    <row r="473" spans="6:12" ht="15" customHeight="1" x14ac:dyDescent="0.45">
      <c r="F473" s="23">
        <v>22</v>
      </c>
      <c r="G473" s="57" t="str" cm="1">
        <f t="array" ref="G473">IFERROR(VLOOKUP(GERENCIAMENTO!$D$41&amp;ROW(A22),'ATIVIDADES E APONTAMENTOS'!$A:$F,{2,3,4,5,6},0),"Não Executar")</f>
        <v>Não Executar</v>
      </c>
      <c r="L473" s="58">
        <f t="shared" si="7"/>
        <v>0</v>
      </c>
    </row>
    <row r="474" spans="6:12" ht="15" customHeight="1" x14ac:dyDescent="0.45">
      <c r="F474" s="23">
        <v>23</v>
      </c>
      <c r="G474" s="57" t="str" cm="1">
        <f t="array" ref="G474">IFERROR(VLOOKUP(GERENCIAMENTO!$D$41&amp;ROW(A23),'ATIVIDADES E APONTAMENTOS'!$A:$F,{2,3,4,5,6},0),"Não Executar")</f>
        <v>Não Executar</v>
      </c>
      <c r="L474" s="58">
        <f t="shared" si="7"/>
        <v>0</v>
      </c>
    </row>
    <row r="475" spans="6:12" ht="15" customHeight="1" x14ac:dyDescent="0.45">
      <c r="F475" s="23">
        <v>24</v>
      </c>
      <c r="G475" s="57" t="str" cm="1">
        <f t="array" ref="G475">IFERROR(VLOOKUP(GERENCIAMENTO!$D$41&amp;ROW(A24),'ATIVIDADES E APONTAMENTOS'!$A:$F,{2,3,4,5,6},0),"Não Executar")</f>
        <v>Não Executar</v>
      </c>
      <c r="L475" s="58">
        <f t="shared" si="7"/>
        <v>0</v>
      </c>
    </row>
    <row r="476" spans="6:12" ht="15" customHeight="1" x14ac:dyDescent="0.45">
      <c r="F476" s="23">
        <v>25</v>
      </c>
      <c r="G476" s="57" t="str" cm="1">
        <f t="array" ref="G476">IFERROR(VLOOKUP(GERENCIAMENTO!$D$41&amp;ROW(A25),'ATIVIDADES E APONTAMENTOS'!$A:$F,{2,3,4,5,6},0),"Não Executar")</f>
        <v>Não Executar</v>
      </c>
      <c r="L476" s="58">
        <f t="shared" si="7"/>
        <v>0</v>
      </c>
    </row>
    <row r="477" spans="6:12" ht="15" customHeight="1" x14ac:dyDescent="0.45">
      <c r="F477" s="59">
        <v>1</v>
      </c>
      <c r="G477" s="57" t="str" cm="1">
        <f t="array" ref="G477">IFERROR(VLOOKUP(GERENCIAMENTO!$D$42&amp;ROW(A1),'ATIVIDADES E APONTAMENTOS'!$A:$F,{2,3,4,5,6},0),"Não Executar")</f>
        <v>Não Executar</v>
      </c>
      <c r="L477" s="58">
        <f t="shared" si="7"/>
        <v>0</v>
      </c>
    </row>
    <row r="478" spans="6:12" ht="15" customHeight="1" x14ac:dyDescent="0.45">
      <c r="F478" s="59">
        <v>2</v>
      </c>
      <c r="G478" s="57" t="str" cm="1">
        <f t="array" ref="G478">IFERROR(VLOOKUP(GERENCIAMENTO!$D$42&amp;ROW(A2),'ATIVIDADES E APONTAMENTOS'!$A:$F,{2,3,4,5,6},0),"Não Executar")</f>
        <v>Não Executar</v>
      </c>
      <c r="L478" s="58">
        <f t="shared" si="7"/>
        <v>0</v>
      </c>
    </row>
    <row r="479" spans="6:12" ht="15" customHeight="1" x14ac:dyDescent="0.45">
      <c r="F479" s="59">
        <v>3</v>
      </c>
      <c r="G479" s="57" t="str" cm="1">
        <f t="array" ref="G479">IFERROR(VLOOKUP(GERENCIAMENTO!$D$42&amp;ROW(A3),'ATIVIDADES E APONTAMENTOS'!$A:$F,{2,3,4,5,6},0),"Não Executar")</f>
        <v>Não Executar</v>
      </c>
      <c r="L479" s="58">
        <f t="shared" si="7"/>
        <v>0</v>
      </c>
    </row>
    <row r="480" spans="6:12" ht="15" customHeight="1" x14ac:dyDescent="0.45">
      <c r="F480" s="59">
        <v>4</v>
      </c>
      <c r="G480" s="57" t="str" cm="1">
        <f t="array" ref="G480">IFERROR(VLOOKUP(GERENCIAMENTO!$D$42&amp;ROW(A4),'ATIVIDADES E APONTAMENTOS'!$A:$F,{2,3,4,5,6},0),"Não Executar")</f>
        <v>Não Executar</v>
      </c>
      <c r="L480" s="58">
        <f t="shared" si="7"/>
        <v>0</v>
      </c>
    </row>
    <row r="481" spans="6:12" ht="15" customHeight="1" x14ac:dyDescent="0.45">
      <c r="F481" s="59">
        <v>5</v>
      </c>
      <c r="G481" s="57" t="str" cm="1">
        <f t="array" ref="G481">IFERROR(VLOOKUP(GERENCIAMENTO!$D$42&amp;ROW(A5),'ATIVIDADES E APONTAMENTOS'!$A:$F,{2,3,4,5,6},0),"Não Executar")</f>
        <v>Não Executar</v>
      </c>
      <c r="L481" s="58">
        <f t="shared" si="7"/>
        <v>0</v>
      </c>
    </row>
    <row r="482" spans="6:12" ht="15" customHeight="1" x14ac:dyDescent="0.45">
      <c r="F482" s="59">
        <v>6</v>
      </c>
      <c r="G482" s="57" t="str" cm="1">
        <f t="array" ref="G482">IFERROR(VLOOKUP(GERENCIAMENTO!$D$42&amp;ROW(A6),'ATIVIDADES E APONTAMENTOS'!$A:$F,{2,3,4,5,6},0),"Não Executar")</f>
        <v>Não Executar</v>
      </c>
      <c r="L482" s="58">
        <f t="shared" si="7"/>
        <v>0</v>
      </c>
    </row>
    <row r="483" spans="6:12" ht="15" customHeight="1" x14ac:dyDescent="0.45">
      <c r="F483" s="59">
        <v>7</v>
      </c>
      <c r="G483" s="57" t="str" cm="1">
        <f t="array" ref="G483">IFERROR(VLOOKUP(GERENCIAMENTO!$D$42&amp;ROW(A7),'ATIVIDADES E APONTAMENTOS'!$A:$F,{2,3,4,5,6},0),"Não Executar")</f>
        <v>Não Executar</v>
      </c>
      <c r="L483" s="58">
        <f t="shared" si="7"/>
        <v>0</v>
      </c>
    </row>
    <row r="484" spans="6:12" ht="15" customHeight="1" x14ac:dyDescent="0.45">
      <c r="F484" s="59">
        <v>8</v>
      </c>
      <c r="G484" s="57" t="str" cm="1">
        <f t="array" ref="G484">IFERROR(VLOOKUP(GERENCIAMENTO!$D$42&amp;ROW(A8),'ATIVIDADES E APONTAMENTOS'!$A:$F,{2,3,4,5,6},0),"Não Executar")</f>
        <v>Não Executar</v>
      </c>
      <c r="L484" s="58">
        <f t="shared" si="7"/>
        <v>0</v>
      </c>
    </row>
    <row r="485" spans="6:12" ht="15" customHeight="1" x14ac:dyDescent="0.45">
      <c r="F485" s="59">
        <v>9</v>
      </c>
      <c r="G485" s="57" t="str" cm="1">
        <f t="array" ref="G485">IFERROR(VLOOKUP(GERENCIAMENTO!$D$42&amp;ROW(A9),'ATIVIDADES E APONTAMENTOS'!$A:$F,{2,3,4,5,6},0),"Não Executar")</f>
        <v>Não Executar</v>
      </c>
      <c r="L485" s="58">
        <f t="shared" si="7"/>
        <v>0</v>
      </c>
    </row>
    <row r="486" spans="6:12" ht="15" customHeight="1" x14ac:dyDescent="0.45">
      <c r="F486" s="59">
        <v>10</v>
      </c>
      <c r="G486" s="57" t="str" cm="1">
        <f t="array" ref="G486">IFERROR(VLOOKUP(GERENCIAMENTO!$D$42&amp;ROW(A10),'ATIVIDADES E APONTAMENTOS'!$A:$F,{2,3,4,5,6},0),"Não Executar")</f>
        <v>Não Executar</v>
      </c>
      <c r="L486" s="58">
        <f t="shared" si="7"/>
        <v>0</v>
      </c>
    </row>
    <row r="487" spans="6:12" ht="15" customHeight="1" x14ac:dyDescent="0.45">
      <c r="F487" s="59">
        <v>11</v>
      </c>
      <c r="G487" s="57" t="str" cm="1">
        <f t="array" ref="G487">IFERROR(VLOOKUP(GERENCIAMENTO!$D$42&amp;ROW(A11),'ATIVIDADES E APONTAMENTOS'!$A:$F,{2,3,4,5,6},0),"Não Executar")</f>
        <v>Não Executar</v>
      </c>
      <c r="L487" s="58">
        <f t="shared" si="7"/>
        <v>0</v>
      </c>
    </row>
    <row r="488" spans="6:12" ht="15" customHeight="1" x14ac:dyDescent="0.45">
      <c r="F488" s="59">
        <v>12</v>
      </c>
      <c r="G488" s="57" t="str" cm="1">
        <f t="array" ref="G488">IFERROR(VLOOKUP(GERENCIAMENTO!$D$42&amp;ROW(A12),'ATIVIDADES E APONTAMENTOS'!$A:$F,{2,3,4,5,6},0),"Não Executar")</f>
        <v>Não Executar</v>
      </c>
      <c r="L488" s="58">
        <f t="shared" si="7"/>
        <v>0</v>
      </c>
    </row>
    <row r="489" spans="6:12" ht="15" customHeight="1" x14ac:dyDescent="0.45">
      <c r="F489" s="59">
        <v>13</v>
      </c>
      <c r="G489" s="57" t="str" cm="1">
        <f t="array" ref="G489">IFERROR(VLOOKUP(GERENCIAMENTO!$D$42&amp;ROW(A13),'ATIVIDADES E APONTAMENTOS'!$A:$F,{2,3,4,5,6},0),"Não Executar")</f>
        <v>Não Executar</v>
      </c>
      <c r="L489" s="58">
        <f t="shared" si="7"/>
        <v>0</v>
      </c>
    </row>
    <row r="490" spans="6:12" ht="15" customHeight="1" x14ac:dyDescent="0.45">
      <c r="F490" s="59">
        <v>14</v>
      </c>
      <c r="G490" s="57" t="str" cm="1">
        <f t="array" ref="G490">IFERROR(VLOOKUP(GERENCIAMENTO!$D$42&amp;ROW(A14),'ATIVIDADES E APONTAMENTOS'!$A:$F,{2,3,4,5,6},0),"Não Executar")</f>
        <v>Não Executar</v>
      </c>
      <c r="L490" s="58">
        <f t="shared" si="7"/>
        <v>0</v>
      </c>
    </row>
    <row r="491" spans="6:12" ht="15" customHeight="1" x14ac:dyDescent="0.45">
      <c r="F491" s="59">
        <v>15</v>
      </c>
      <c r="G491" s="57" t="str" cm="1">
        <f t="array" ref="G491">IFERROR(VLOOKUP(GERENCIAMENTO!$D$42&amp;ROW(A15),'ATIVIDADES E APONTAMENTOS'!$A:$F,{2,3,4,5,6},0),"Não Executar")</f>
        <v>Não Executar</v>
      </c>
      <c r="L491" s="58">
        <f t="shared" si="7"/>
        <v>0</v>
      </c>
    </row>
    <row r="492" spans="6:12" ht="15" customHeight="1" x14ac:dyDescent="0.45">
      <c r="F492" s="59">
        <v>16</v>
      </c>
      <c r="G492" s="57" t="str" cm="1">
        <f t="array" ref="G492">IFERROR(VLOOKUP(GERENCIAMENTO!$D$42&amp;ROW(A16),'ATIVIDADES E APONTAMENTOS'!$A:$F,{2,3,4,5,6},0),"Não Executar")</f>
        <v>Não Executar</v>
      </c>
      <c r="L492" s="58">
        <f t="shared" si="7"/>
        <v>0</v>
      </c>
    </row>
    <row r="493" spans="6:12" ht="15" customHeight="1" x14ac:dyDescent="0.45">
      <c r="F493" s="59">
        <v>17</v>
      </c>
      <c r="G493" s="57" t="str" cm="1">
        <f t="array" ref="G493">IFERROR(VLOOKUP(GERENCIAMENTO!$D$42&amp;ROW(A17),'ATIVIDADES E APONTAMENTOS'!$A:$F,{2,3,4,5,6},0),"Não Executar")</f>
        <v>Não Executar</v>
      </c>
      <c r="L493" s="58">
        <f t="shared" si="7"/>
        <v>0</v>
      </c>
    </row>
    <row r="494" spans="6:12" ht="15" customHeight="1" x14ac:dyDescent="0.45">
      <c r="F494" s="59">
        <v>18</v>
      </c>
      <c r="G494" s="57" t="str" cm="1">
        <f t="array" ref="G494">IFERROR(VLOOKUP(GERENCIAMENTO!$D$42&amp;ROW(A18),'ATIVIDADES E APONTAMENTOS'!$A:$F,{2,3,4,5,6},0),"Não Executar")</f>
        <v>Não Executar</v>
      </c>
      <c r="L494" s="58">
        <f t="shared" si="7"/>
        <v>0</v>
      </c>
    </row>
    <row r="495" spans="6:12" ht="15" customHeight="1" x14ac:dyDescent="0.45">
      <c r="F495" s="59">
        <v>19</v>
      </c>
      <c r="G495" s="57" t="str" cm="1">
        <f t="array" ref="G495">IFERROR(VLOOKUP(GERENCIAMENTO!$D$42&amp;ROW(A19),'ATIVIDADES E APONTAMENTOS'!$A:$F,{2,3,4,5,6},0),"Não Executar")</f>
        <v>Não Executar</v>
      </c>
      <c r="L495" s="58">
        <f t="shared" si="7"/>
        <v>0</v>
      </c>
    </row>
    <row r="496" spans="6:12" ht="15" customHeight="1" x14ac:dyDescent="0.45">
      <c r="F496" s="59">
        <v>20</v>
      </c>
      <c r="G496" s="57" t="str" cm="1">
        <f t="array" ref="G496">IFERROR(VLOOKUP(GERENCIAMENTO!$D$42&amp;ROW(A20),'ATIVIDADES E APONTAMENTOS'!$A:$F,{2,3,4,5,6},0),"Não Executar")</f>
        <v>Não Executar</v>
      </c>
      <c r="L496" s="58">
        <f t="shared" si="7"/>
        <v>0</v>
      </c>
    </row>
    <row r="497" spans="6:12" ht="15" customHeight="1" x14ac:dyDescent="0.45">
      <c r="F497" s="59">
        <v>21</v>
      </c>
      <c r="G497" s="57" t="str" cm="1">
        <f t="array" ref="G497">IFERROR(VLOOKUP(GERENCIAMENTO!$D$42&amp;ROW(A21),'ATIVIDADES E APONTAMENTOS'!$A:$F,{2,3,4,5,6},0),"Não Executar")</f>
        <v>Não Executar</v>
      </c>
      <c r="L497" s="58">
        <f t="shared" si="7"/>
        <v>0</v>
      </c>
    </row>
    <row r="498" spans="6:12" ht="15" customHeight="1" x14ac:dyDescent="0.45">
      <c r="F498" s="59">
        <v>22</v>
      </c>
      <c r="G498" s="57" t="str" cm="1">
        <f t="array" ref="G498">IFERROR(VLOOKUP(GERENCIAMENTO!$D$42&amp;ROW(A22),'ATIVIDADES E APONTAMENTOS'!$A:$F,{2,3,4,5,6},0),"Não Executar")</f>
        <v>Não Executar</v>
      </c>
      <c r="L498" s="58">
        <f t="shared" si="7"/>
        <v>0</v>
      </c>
    </row>
    <row r="499" spans="6:12" ht="15" customHeight="1" x14ac:dyDescent="0.45">
      <c r="F499" s="59">
        <v>23</v>
      </c>
      <c r="G499" s="57" t="str" cm="1">
        <f t="array" ref="G499">IFERROR(VLOOKUP(GERENCIAMENTO!$D$42&amp;ROW(A23),'ATIVIDADES E APONTAMENTOS'!$A:$F,{2,3,4,5,6},0),"Não Executar")</f>
        <v>Não Executar</v>
      </c>
      <c r="L499" s="58">
        <f t="shared" si="7"/>
        <v>0</v>
      </c>
    </row>
    <row r="500" spans="6:12" ht="15" customHeight="1" x14ac:dyDescent="0.45">
      <c r="F500" s="59">
        <v>24</v>
      </c>
      <c r="G500" s="57" t="str" cm="1">
        <f t="array" ref="G500">IFERROR(VLOOKUP(GERENCIAMENTO!$D$42&amp;ROW(A24),'ATIVIDADES E APONTAMENTOS'!$A:$F,{2,3,4,5,6},0),"Não Executar")</f>
        <v>Não Executar</v>
      </c>
      <c r="L500" s="58">
        <f t="shared" si="7"/>
        <v>0</v>
      </c>
    </row>
    <row r="501" spans="6:12" ht="15" customHeight="1" x14ac:dyDescent="0.45">
      <c r="F501" s="59">
        <v>25</v>
      </c>
      <c r="G501" s="57" t="str" cm="1">
        <f t="array" ref="G501">IFERROR(VLOOKUP(GERENCIAMENTO!$D$42&amp;ROW(A25),'ATIVIDADES E APONTAMENTOS'!$A:$F,{2,3,4,5,6},0),"Não Executar")</f>
        <v>Não Executar</v>
      </c>
      <c r="L501" s="58">
        <f t="shared" si="7"/>
        <v>0</v>
      </c>
    </row>
  </sheetData>
  <sheetProtection algorithmName="SHA-512" hashValue="yaIWNkjodZoAlWn98E7zlOilG5///Vl+zmQWtHhGgh0E41xDbIFb1I8Ur1B5JxLUyzOneVN2hfGcr+XTFyeIww==" saltValue="osvV2tfnbCNJX9UviDcyfw==" spinCount="100000" sheet="1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03C266-45D8-440D-B0DD-6A16FAA8994B}">
          <x14:formula1>
            <xm:f>Colaboradores!$A$2:$A$35</xm:f>
          </x14:formula1>
          <xm:sqref>J2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0DC5-E573-4C96-8BF6-6D87A1720915}">
  <sheetPr>
    <tabColor theme="1" tint="4.9989318521683403E-2"/>
  </sheetPr>
  <dimension ref="A3:D25"/>
  <sheetViews>
    <sheetView showGridLines="0" workbookViewId="0">
      <selection activeCell="C19" sqref="C19"/>
    </sheetView>
  </sheetViews>
  <sheetFormatPr defaultRowHeight="14.25" x14ac:dyDescent="0.45"/>
  <cols>
    <col min="1" max="1" width="53.6640625" bestFit="1" customWidth="1"/>
    <col min="2" max="2" width="6.33203125" style="1" bestFit="1" customWidth="1"/>
    <col min="3" max="3" width="20.06640625" style="1" bestFit="1" customWidth="1"/>
    <col min="4" max="4" width="16.06640625" style="1" bestFit="1" customWidth="1"/>
    <col min="5" max="5" width="16.06640625" bestFit="1" customWidth="1"/>
  </cols>
  <sheetData>
    <row r="3" spans="1:4" x14ac:dyDescent="0.45">
      <c r="A3" s="21" t="s">
        <v>213</v>
      </c>
      <c r="B3" s="1" t="s">
        <v>219</v>
      </c>
      <c r="C3" s="1" t="s">
        <v>215</v>
      </c>
      <c r="D3" t="s">
        <v>224</v>
      </c>
    </row>
    <row r="4" spans="1:4" x14ac:dyDescent="0.45">
      <c r="A4" s="2" t="s">
        <v>2</v>
      </c>
      <c r="B4" s="22">
        <v>8.5833333333333339</v>
      </c>
      <c r="C4" s="47">
        <v>0.88749999999999996</v>
      </c>
      <c r="D4" s="47">
        <v>2.5121951219512195</v>
      </c>
    </row>
    <row r="5" spans="1:4" x14ac:dyDescent="0.45">
      <c r="A5" s="2" t="s">
        <v>11</v>
      </c>
      <c r="B5" s="22">
        <v>0.83333333333333337</v>
      </c>
      <c r="C5" s="47">
        <v>1</v>
      </c>
      <c r="D5" s="47">
        <v>2</v>
      </c>
    </row>
    <row r="6" spans="1:4" x14ac:dyDescent="0.45">
      <c r="A6" s="2" t="s">
        <v>14</v>
      </c>
      <c r="B6" s="22">
        <v>1.5</v>
      </c>
      <c r="C6" s="47">
        <v>0</v>
      </c>
      <c r="D6" s="47">
        <v>0.2608695652173913</v>
      </c>
    </row>
    <row r="7" spans="1:4" x14ac:dyDescent="0.45">
      <c r="A7" s="2" t="s">
        <v>21</v>
      </c>
      <c r="B7" s="22">
        <v>0</v>
      </c>
      <c r="C7" s="47">
        <v>0</v>
      </c>
      <c r="D7" s="47">
        <v>0</v>
      </c>
    </row>
    <row r="8" spans="1:4" x14ac:dyDescent="0.45">
      <c r="A8" s="2" t="s">
        <v>31</v>
      </c>
      <c r="B8" s="22">
        <v>0</v>
      </c>
      <c r="C8" s="47">
        <v>0</v>
      </c>
      <c r="D8" s="47">
        <v>0</v>
      </c>
    </row>
    <row r="9" spans="1:4" x14ac:dyDescent="0.45">
      <c r="A9" s="2" t="s">
        <v>34</v>
      </c>
      <c r="B9" s="22">
        <v>0</v>
      </c>
      <c r="C9" s="47">
        <v>0</v>
      </c>
      <c r="D9" s="47">
        <v>0</v>
      </c>
    </row>
    <row r="10" spans="1:4" x14ac:dyDescent="0.45">
      <c r="A10" s="2" t="s">
        <v>37</v>
      </c>
      <c r="B10" s="22">
        <v>0</v>
      </c>
      <c r="C10" s="47">
        <v>0</v>
      </c>
      <c r="D10" s="47">
        <v>0</v>
      </c>
    </row>
    <row r="11" spans="1:4" x14ac:dyDescent="0.45">
      <c r="A11" s="2" t="s">
        <v>41</v>
      </c>
      <c r="B11" s="22">
        <v>0</v>
      </c>
      <c r="C11" s="47">
        <v>0</v>
      </c>
      <c r="D11" s="47">
        <v>0</v>
      </c>
    </row>
    <row r="12" spans="1:4" x14ac:dyDescent="0.45">
      <c r="A12" s="2" t="s">
        <v>53</v>
      </c>
      <c r="B12" s="22">
        <v>0</v>
      </c>
      <c r="C12" s="47">
        <v>0</v>
      </c>
      <c r="D12" s="47">
        <v>0</v>
      </c>
    </row>
    <row r="13" spans="1:4" x14ac:dyDescent="0.45">
      <c r="A13" s="2" t="s">
        <v>61</v>
      </c>
      <c r="B13" s="22">
        <v>0</v>
      </c>
      <c r="C13" s="47">
        <v>0</v>
      </c>
      <c r="D13" s="47">
        <v>0</v>
      </c>
    </row>
    <row r="14" spans="1:4" x14ac:dyDescent="0.45">
      <c r="A14" s="2" t="s">
        <v>71</v>
      </c>
      <c r="B14" s="22">
        <v>0</v>
      </c>
      <c r="C14" s="47">
        <v>0</v>
      </c>
      <c r="D14" s="47">
        <v>0</v>
      </c>
    </row>
    <row r="15" spans="1:4" x14ac:dyDescent="0.45">
      <c r="A15" s="2" t="s">
        <v>79</v>
      </c>
      <c r="B15" s="22">
        <v>0</v>
      </c>
      <c r="C15" s="47">
        <v>0</v>
      </c>
      <c r="D15" s="47">
        <v>0</v>
      </c>
    </row>
    <row r="16" spans="1:4" x14ac:dyDescent="0.45">
      <c r="A16" s="2" t="s">
        <v>94</v>
      </c>
      <c r="B16" s="22">
        <v>0</v>
      </c>
      <c r="C16" s="47">
        <v>0</v>
      </c>
      <c r="D16" s="47">
        <v>0</v>
      </c>
    </row>
    <row r="17" spans="1:4" x14ac:dyDescent="0.45">
      <c r="A17" s="2" t="s">
        <v>100</v>
      </c>
      <c r="B17" s="22">
        <v>0</v>
      </c>
      <c r="C17" s="47">
        <v>0</v>
      </c>
      <c r="D17" s="47">
        <v>0</v>
      </c>
    </row>
    <row r="18" spans="1:4" x14ac:dyDescent="0.45">
      <c r="A18" s="2" t="s">
        <v>116</v>
      </c>
      <c r="B18" s="22">
        <v>0</v>
      </c>
      <c r="C18" s="47">
        <v>0</v>
      </c>
      <c r="D18" s="47">
        <v>0</v>
      </c>
    </row>
    <row r="19" spans="1:4" x14ac:dyDescent="0.45">
      <c r="A19" s="2" t="s">
        <v>127</v>
      </c>
      <c r="B19" s="22">
        <v>0</v>
      </c>
      <c r="C19" s="47">
        <v>0</v>
      </c>
      <c r="D19" s="47">
        <v>0</v>
      </c>
    </row>
    <row r="20" spans="1:4" x14ac:dyDescent="0.45">
      <c r="A20" s="2" t="s">
        <v>135</v>
      </c>
      <c r="B20" s="22">
        <v>0</v>
      </c>
      <c r="C20" s="47">
        <v>0</v>
      </c>
      <c r="D20" s="47">
        <v>0</v>
      </c>
    </row>
    <row r="21" spans="1:4" x14ac:dyDescent="0.45">
      <c r="A21" s="2" t="s">
        <v>143</v>
      </c>
      <c r="B21" s="22">
        <v>0</v>
      </c>
      <c r="C21" s="47">
        <v>0</v>
      </c>
      <c r="D21" s="47">
        <v>0</v>
      </c>
    </row>
    <row r="22" spans="1:4" x14ac:dyDescent="0.45">
      <c r="A22" s="2" t="s">
        <v>154</v>
      </c>
      <c r="B22" s="22">
        <v>0</v>
      </c>
      <c r="C22" s="47">
        <v>0</v>
      </c>
      <c r="D22" s="47">
        <v>0</v>
      </c>
    </row>
    <row r="23" spans="1:4" x14ac:dyDescent="0.45">
      <c r="A23" s="2" t="s">
        <v>165</v>
      </c>
      <c r="B23" s="22">
        <v>0</v>
      </c>
      <c r="C23" s="47">
        <v>0</v>
      </c>
      <c r="D23" s="47">
        <v>0</v>
      </c>
    </row>
    <row r="24" spans="1:4" x14ac:dyDescent="0.45">
      <c r="A24" s="2" t="s">
        <v>179</v>
      </c>
      <c r="B24" s="22">
        <v>10.916666666666666</v>
      </c>
      <c r="C24" s="47">
        <v>6.0902255639097742E-2</v>
      </c>
      <c r="D24" s="47">
        <v>0.1380400421496312</v>
      </c>
    </row>
    <row r="25" spans="1:4" x14ac:dyDescent="0.45">
      <c r="B25"/>
      <c r="C25"/>
      <c r="D2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GERENCIAMENTO</vt:lpstr>
      <vt:lpstr>ATIVIDADES E APONTAMENTOS</vt:lpstr>
      <vt:lpstr>Colaboradores</vt:lpstr>
      <vt:lpstr>PRG01</vt:lpstr>
      <vt:lpstr>PRG02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Rodrigues Ribeiro</dc:creator>
  <cp:lastModifiedBy>Vagner Rodrigues Ribeiro</cp:lastModifiedBy>
  <dcterms:created xsi:type="dcterms:W3CDTF">2024-09-05T15:14:04Z</dcterms:created>
  <dcterms:modified xsi:type="dcterms:W3CDTF">2024-10-05T16:31:51Z</dcterms:modified>
</cp:coreProperties>
</file>