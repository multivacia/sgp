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ejamento" state="visible" r:id="rId4"/>
    <sheet sheetId="2" name="Capacidade" state="visible" r:id="rId5"/>
  </sheets>
  <calcPr calcId="171027"/>
</workbook>
</file>

<file path=xl/sharedStrings.xml><?xml version="1.0" encoding="utf-8"?>
<sst xmlns="http://schemas.openxmlformats.org/spreadsheetml/2006/main" count="260" uniqueCount="75">
  <si>
    <t>SGP+ — Planejamento semanal</t>
  </si>
  <si>
    <t>Período: 29/06/2026 a 03/07/2026</t>
  </si>
  <si>
    <t>Situação: REVISÃO NÃO PUBLICADA</t>
  </si>
  <si>
    <t>Gerado em: 01/07/2026, 10:00</t>
  </si>
  <si>
    <t>Total de atividades: 13   |   Tempo planejado total: 27 h   |   Colaboradores com atividade: 4</t>
  </si>
  <si>
    <t>Data</t>
  </si>
  <si>
    <t>Dia da semana</t>
  </si>
  <si>
    <t>Colaborador</t>
  </si>
  <si>
    <t>Equipe</t>
  </si>
  <si>
    <t>Código/OS</t>
  </si>
  <si>
    <t>Esteira</t>
  </si>
  <si>
    <t>Cliente</t>
  </si>
  <si>
    <t>Veículo</t>
  </si>
  <si>
    <t>Placa</t>
  </si>
  <si>
    <t>Prazo da esteira</t>
  </si>
  <si>
    <t>Tarefa</t>
  </si>
  <si>
    <t>Setor</t>
  </si>
  <si>
    <t>Atividade</t>
  </si>
  <si>
    <t>Ordem no planejamento</t>
  </si>
  <si>
    <t>Tempo planejado</t>
  </si>
  <si>
    <t>Situação</t>
  </si>
  <si>
    <t>Observações</t>
  </si>
  <si>
    <t>Revisão necessária</t>
  </si>
  <si>
    <t>Segunda-feira</t>
  </si>
  <si>
    <t>Carlos Demo</t>
  </si>
  <si>
    <t/>
  </si>
  <si>
    <t>ET-0101</t>
  </si>
  <si>
    <t>Reforma de bancos — Veículo Exemplo</t>
  </si>
  <si>
    <t>Cliente Exemplo</t>
  </si>
  <si>
    <t>Veículo Exemplo</t>
  </si>
  <si>
    <t>ABC1D23</t>
  </si>
  <si>
    <t>2026-07-10</t>
  </si>
  <si>
    <t>Bancos dianteiros</t>
  </si>
  <si>
    <t>Tapeçaria</t>
  </si>
  <si>
    <t>Desmontar bancos</t>
  </si>
  <si>
    <t>Concluída</t>
  </si>
  <si>
    <t>Não</t>
  </si>
  <si>
    <t>Remover revestimento antigo</t>
  </si>
  <si>
    <t>Terça-feira</t>
  </si>
  <si>
    <t>Recuperar espuma</t>
  </si>
  <si>
    <t>Em andamento</t>
  </si>
  <si>
    <t>Quarta-feira</t>
  </si>
  <si>
    <t>ET-0103</t>
  </si>
  <si>
    <t>Painéis de porta — Veículo Exemplo</t>
  </si>
  <si>
    <t>Portas dianteiras</t>
  </si>
  <si>
    <t>Desmontar painéis</t>
  </si>
  <si>
    <t>Aberta</t>
  </si>
  <si>
    <t>Aplicar manta acústica</t>
  </si>
  <si>
    <t>Quinta-feira</t>
  </si>
  <si>
    <t>Revestir assentos</t>
  </si>
  <si>
    <t>Bruno Exemplo</t>
  </si>
  <si>
    <t>Costura</t>
  </si>
  <si>
    <t>Cortar couro</t>
  </si>
  <si>
    <t>Costurar capas</t>
  </si>
  <si>
    <t>Pespontar detalhes</t>
  </si>
  <si>
    <t>Diana Exemplo</t>
  </si>
  <si>
    <t>ET-0102</t>
  </si>
  <si>
    <t>Revestimento de teto — Veículo Exemplo</t>
  </si>
  <si>
    <t>Teto</t>
  </si>
  <si>
    <t>Remover forro</t>
  </si>
  <si>
    <t>Sim</t>
  </si>
  <si>
    <t>Aplicar tecido</t>
  </si>
  <si>
    <t>Eduardo Teste</t>
  </si>
  <si>
    <t>ET-0104</t>
  </si>
  <si>
    <t>Volante em couro — Veículo Exemplo</t>
  </si>
  <si>
    <t>Volante</t>
  </si>
  <si>
    <t>Acabamento</t>
  </si>
  <si>
    <t>Revestir volante</t>
  </si>
  <si>
    <t>Sexta-feira</t>
  </si>
  <si>
    <t>Costurar volante</t>
  </si>
  <si>
    <t>Capacidade — 29/06/2026 a 03/07/2026</t>
  </si>
  <si>
    <t>Capacidade disponível</t>
  </si>
  <si>
    <t>Saldo</t>
  </si>
  <si>
    <t>Ocupação</t>
  </si>
  <si>
    <t>Disponível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</si>
</sst>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[h]:mm"/>
    <numFmt numFmtId="166" formatCode="0&quot; min&quot;;-0&quot; min&quot;"/>
    <numFmt numFmtId="167" formatCode="0.0%"/>
  </numFmts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  <color rgb="FF7F6000"/>
      <sz val="11"/>
    </font>
    <font>
      <b/>
      <color rgb="FFFFFFFF"/>
      <sz val="11"/>
    </font>
    <font>
      <color rgb="FF274E13"/>
      <sz val="11"/>
    </font>
    <font>
      <sz val="11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293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5" fontId="5" fillId="4" borderId="1" xfId="0" applyNumberFormat="1" applyFont="1" applyFill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167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20" customWidth="1"/>
    <col min="5" max="5" width="14" customWidth="1"/>
    <col min="6" max="6" width="26" customWidth="1"/>
    <col min="7" max="7" width="20" customWidth="1"/>
    <col min="8" max="8" width="18" customWidth="1"/>
    <col min="9" max="9" width="12" customWidth="1"/>
    <col min="10" max="10" width="16" customWidth="1"/>
    <col min="11" max="11" width="22" customWidth="1"/>
    <col min="12" max="12" width="20" customWidth="1"/>
    <col min="13" max="13" width="26" customWidth="1"/>
    <col min="15" max="16" width="16" customWidth="1"/>
    <col min="17" max="17" width="32" customWidth="1"/>
    <col min="18" max="18" width="40" customWidth="1"/>
  </cols>
  <sheetData>
    <row r="1" spans="1:18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8" x14ac:dyDescent="0.25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7" spans="1:18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4" t="s">
        <v>21</v>
      </c>
      <c r="R7" s="4" t="s">
        <v>22</v>
      </c>
    </row>
    <row r="8" spans="1:18" x14ac:dyDescent="0.25">
      <c r="A8" s="5">
        <v>46202.125</v>
      </c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  <c r="G8" s="6" t="s">
        <v>28</v>
      </c>
      <c r="H8" s="6" t="s">
        <v>29</v>
      </c>
      <c r="I8" s="6" t="s">
        <v>30</v>
      </c>
      <c r="J8" s="6" t="s">
        <v>31</v>
      </c>
      <c r="K8" s="6" t="s">
        <v>32</v>
      </c>
      <c r="L8" s="6" t="s">
        <v>33</v>
      </c>
      <c r="M8" s="6" t="s">
        <v>34</v>
      </c>
      <c r="N8" s="6">
        <v>1</v>
      </c>
      <c r="O8" s="7">
        <v>0.041666666666666664</v>
      </c>
      <c r="P8" s="6" t="s">
        <v>35</v>
      </c>
      <c r="Q8" s="6" t="s">
        <v>25</v>
      </c>
      <c r="R8" s="6" t="s">
        <v>36</v>
      </c>
    </row>
    <row r="9" spans="1:18" x14ac:dyDescent="0.25">
      <c r="A9" s="5">
        <v>46202.125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6" t="s">
        <v>28</v>
      </c>
      <c r="H9" s="6" t="s">
        <v>29</v>
      </c>
      <c r="I9" s="6" t="s">
        <v>30</v>
      </c>
      <c r="J9" s="6" t="s">
        <v>31</v>
      </c>
      <c r="K9" s="6" t="s">
        <v>32</v>
      </c>
      <c r="L9" s="6" t="s">
        <v>33</v>
      </c>
      <c r="M9" s="6" t="s">
        <v>37</v>
      </c>
      <c r="N9" s="6">
        <v>2</v>
      </c>
      <c r="O9" s="7">
        <v>0.0625</v>
      </c>
      <c r="P9" s="6" t="s">
        <v>35</v>
      </c>
      <c r="Q9" s="6" t="s">
        <v>25</v>
      </c>
      <c r="R9" s="6" t="s">
        <v>36</v>
      </c>
    </row>
    <row r="10" spans="1:18" x14ac:dyDescent="0.25">
      <c r="A10" s="8">
        <v>46203.125</v>
      </c>
      <c r="B10" s="9" t="s">
        <v>38</v>
      </c>
      <c r="C10" s="9" t="s">
        <v>24</v>
      </c>
      <c r="D10" s="9" t="s">
        <v>25</v>
      </c>
      <c r="E10" s="9" t="s">
        <v>26</v>
      </c>
      <c r="F10" s="9" t="s">
        <v>27</v>
      </c>
      <c r="G10" s="9" t="s">
        <v>28</v>
      </c>
      <c r="H10" s="9" t="s">
        <v>29</v>
      </c>
      <c r="I10" s="9" t="s">
        <v>30</v>
      </c>
      <c r="J10" s="9" t="s">
        <v>31</v>
      </c>
      <c r="K10" s="9" t="s">
        <v>32</v>
      </c>
      <c r="L10" s="9" t="s">
        <v>33</v>
      </c>
      <c r="M10" s="9" t="s">
        <v>39</v>
      </c>
      <c r="N10" s="9">
        <v>1</v>
      </c>
      <c r="O10" s="10">
        <v>0.08333333333333333</v>
      </c>
      <c r="P10" s="9" t="s">
        <v>40</v>
      </c>
      <c r="Q10" s="9" t="s">
        <v>25</v>
      </c>
      <c r="R10" s="9" t="s">
        <v>36</v>
      </c>
    </row>
    <row r="11" spans="1:18" x14ac:dyDescent="0.25">
      <c r="A11" s="8">
        <v>46204.125</v>
      </c>
      <c r="B11" s="9" t="s">
        <v>41</v>
      </c>
      <c r="C11" s="9" t="s">
        <v>24</v>
      </c>
      <c r="D11" s="9" t="s">
        <v>25</v>
      </c>
      <c r="E11" s="9" t="s">
        <v>42</v>
      </c>
      <c r="F11" s="9" t="s">
        <v>43</v>
      </c>
      <c r="G11" s="9" t="s">
        <v>28</v>
      </c>
      <c r="H11" s="9" t="s">
        <v>29</v>
      </c>
      <c r="I11" s="9" t="s">
        <v>30</v>
      </c>
      <c r="J11" s="9" t="s">
        <v>31</v>
      </c>
      <c r="K11" s="9" t="s">
        <v>44</v>
      </c>
      <c r="L11" s="9" t="s">
        <v>33</v>
      </c>
      <c r="M11" s="9" t="s">
        <v>45</v>
      </c>
      <c r="N11" s="9">
        <v>1</v>
      </c>
      <c r="O11" s="10">
        <v>0.125</v>
      </c>
      <c r="P11" s="9" t="s">
        <v>46</v>
      </c>
      <c r="Q11" s="9" t="s">
        <v>25</v>
      </c>
      <c r="R11" s="9" t="s">
        <v>36</v>
      </c>
    </row>
    <row r="12" spans="1:18" x14ac:dyDescent="0.25">
      <c r="A12" s="8">
        <v>46204.125</v>
      </c>
      <c r="B12" s="9" t="s">
        <v>41</v>
      </c>
      <c r="C12" s="9" t="s">
        <v>24</v>
      </c>
      <c r="D12" s="9" t="s">
        <v>25</v>
      </c>
      <c r="E12" s="9" t="s">
        <v>26</v>
      </c>
      <c r="F12" s="9" t="s">
        <v>27</v>
      </c>
      <c r="G12" s="9" t="s">
        <v>28</v>
      </c>
      <c r="H12" s="9" t="s">
        <v>29</v>
      </c>
      <c r="I12" s="9" t="s">
        <v>30</v>
      </c>
      <c r="J12" s="9" t="s">
        <v>31</v>
      </c>
      <c r="K12" s="9" t="s">
        <v>32</v>
      </c>
      <c r="L12" s="9" t="s">
        <v>33</v>
      </c>
      <c r="M12" s="9" t="s">
        <v>47</v>
      </c>
      <c r="N12" s="9">
        <v>2</v>
      </c>
      <c r="O12" s="10">
        <v>0.16666666666666666</v>
      </c>
      <c r="P12" s="9" t="s">
        <v>46</v>
      </c>
      <c r="Q12" s="9" t="s">
        <v>25</v>
      </c>
      <c r="R12" s="9" t="s">
        <v>36</v>
      </c>
    </row>
    <row r="13" spans="1:18" x14ac:dyDescent="0.25">
      <c r="A13" s="8">
        <v>46205.125</v>
      </c>
      <c r="B13" s="9" t="s">
        <v>48</v>
      </c>
      <c r="C13" s="9" t="s">
        <v>24</v>
      </c>
      <c r="D13" s="9" t="s">
        <v>25</v>
      </c>
      <c r="E13" s="9" t="s">
        <v>26</v>
      </c>
      <c r="F13" s="9" t="s">
        <v>27</v>
      </c>
      <c r="G13" s="9" t="s">
        <v>28</v>
      </c>
      <c r="H13" s="9" t="s">
        <v>29</v>
      </c>
      <c r="I13" s="9" t="s">
        <v>30</v>
      </c>
      <c r="J13" s="9" t="s">
        <v>31</v>
      </c>
      <c r="K13" s="9" t="s">
        <v>32</v>
      </c>
      <c r="L13" s="9" t="s">
        <v>33</v>
      </c>
      <c r="M13" s="9" t="s">
        <v>49</v>
      </c>
      <c r="N13" s="9">
        <v>1</v>
      </c>
      <c r="O13" s="10">
        <v>0.125</v>
      </c>
      <c r="P13" s="9" t="s">
        <v>46</v>
      </c>
      <c r="Q13" s="9" t="s">
        <v>25</v>
      </c>
      <c r="R13" s="9" t="s">
        <v>36</v>
      </c>
    </row>
    <row r="14" spans="1:18" x14ac:dyDescent="0.25">
      <c r="A14" s="5">
        <v>46202.125</v>
      </c>
      <c r="B14" s="6" t="s">
        <v>23</v>
      </c>
      <c r="C14" s="6" t="s">
        <v>50</v>
      </c>
      <c r="D14" s="6" t="s">
        <v>25</v>
      </c>
      <c r="E14" s="6" t="s">
        <v>26</v>
      </c>
      <c r="F14" s="6" t="s">
        <v>27</v>
      </c>
      <c r="G14" s="6" t="s">
        <v>28</v>
      </c>
      <c r="H14" s="6" t="s">
        <v>29</v>
      </c>
      <c r="I14" s="6" t="s">
        <v>30</v>
      </c>
      <c r="J14" s="6" t="s">
        <v>31</v>
      </c>
      <c r="K14" s="6" t="s">
        <v>32</v>
      </c>
      <c r="L14" s="6" t="s">
        <v>51</v>
      </c>
      <c r="M14" s="6" t="s">
        <v>52</v>
      </c>
      <c r="N14" s="6">
        <v>1</v>
      </c>
      <c r="O14" s="7">
        <v>0.0625</v>
      </c>
      <c r="P14" s="6" t="s">
        <v>35</v>
      </c>
      <c r="Q14" s="6" t="s">
        <v>25</v>
      </c>
      <c r="R14" s="6" t="s">
        <v>36</v>
      </c>
    </row>
    <row r="15" spans="1:18" x14ac:dyDescent="0.25">
      <c r="A15" s="8">
        <v>46203.125</v>
      </c>
      <c r="B15" s="9" t="s">
        <v>38</v>
      </c>
      <c r="C15" s="9" t="s">
        <v>50</v>
      </c>
      <c r="D15" s="9" t="s">
        <v>25</v>
      </c>
      <c r="E15" s="9" t="s">
        <v>26</v>
      </c>
      <c r="F15" s="9" t="s">
        <v>27</v>
      </c>
      <c r="G15" s="9" t="s">
        <v>28</v>
      </c>
      <c r="H15" s="9" t="s">
        <v>29</v>
      </c>
      <c r="I15" s="9" t="s">
        <v>30</v>
      </c>
      <c r="J15" s="9" t="s">
        <v>31</v>
      </c>
      <c r="K15" s="9" t="s">
        <v>32</v>
      </c>
      <c r="L15" s="9" t="s">
        <v>51</v>
      </c>
      <c r="M15" s="9" t="s">
        <v>53</v>
      </c>
      <c r="N15" s="9">
        <v>1</v>
      </c>
      <c r="O15" s="10">
        <v>0.10416666666666667</v>
      </c>
      <c r="P15" s="9" t="s">
        <v>40</v>
      </c>
      <c r="Q15" s="9" t="s">
        <v>25</v>
      </c>
      <c r="R15" s="9" t="s">
        <v>36</v>
      </c>
    </row>
    <row r="16" spans="1:18" x14ac:dyDescent="0.25">
      <c r="A16" s="8">
        <v>46205.125</v>
      </c>
      <c r="B16" s="9" t="s">
        <v>48</v>
      </c>
      <c r="C16" s="9" t="s">
        <v>50</v>
      </c>
      <c r="D16" s="9" t="s">
        <v>25</v>
      </c>
      <c r="E16" s="9" t="s">
        <v>26</v>
      </c>
      <c r="F16" s="9" t="s">
        <v>27</v>
      </c>
      <c r="G16" s="9" t="s">
        <v>28</v>
      </c>
      <c r="H16" s="9" t="s">
        <v>29</v>
      </c>
      <c r="I16" s="9" t="s">
        <v>30</v>
      </c>
      <c r="J16" s="9" t="s">
        <v>31</v>
      </c>
      <c r="K16" s="9" t="s">
        <v>32</v>
      </c>
      <c r="L16" s="9" t="s">
        <v>51</v>
      </c>
      <c r="M16" s="9" t="s">
        <v>54</v>
      </c>
      <c r="N16" s="9">
        <v>1</v>
      </c>
      <c r="O16" s="10">
        <v>0.041666666666666664</v>
      </c>
      <c r="P16" s="9" t="s">
        <v>46</v>
      </c>
      <c r="Q16" s="9" t="s">
        <v>25</v>
      </c>
      <c r="R16" s="9" t="s">
        <v>36</v>
      </c>
    </row>
    <row r="17" spans="1:18" x14ac:dyDescent="0.25">
      <c r="A17" s="8">
        <v>46203.125</v>
      </c>
      <c r="B17" s="9" t="s">
        <v>38</v>
      </c>
      <c r="C17" s="9" t="s">
        <v>55</v>
      </c>
      <c r="D17" s="9" t="s">
        <v>25</v>
      </c>
      <c r="E17" s="9" t="s">
        <v>56</v>
      </c>
      <c r="F17" s="9" t="s">
        <v>57</v>
      </c>
      <c r="G17" s="9" t="s">
        <v>28</v>
      </c>
      <c r="H17" s="9" t="s">
        <v>29</v>
      </c>
      <c r="I17" s="9" t="s">
        <v>30</v>
      </c>
      <c r="J17" s="9" t="s">
        <v>31</v>
      </c>
      <c r="K17" s="9" t="s">
        <v>58</v>
      </c>
      <c r="L17" s="9" t="s">
        <v>33</v>
      </c>
      <c r="M17" s="9" t="s">
        <v>59</v>
      </c>
      <c r="N17" s="9">
        <v>1</v>
      </c>
      <c r="O17" s="10">
        <v>0.041666666666666664</v>
      </c>
      <c r="P17" s="9" t="s">
        <v>46</v>
      </c>
      <c r="Q17" s="9" t="s">
        <v>25</v>
      </c>
      <c r="R17" s="9" t="s">
        <v>60</v>
      </c>
    </row>
    <row r="18" spans="1:18" x14ac:dyDescent="0.25">
      <c r="A18" s="8">
        <v>46204.125</v>
      </c>
      <c r="B18" s="9" t="s">
        <v>41</v>
      </c>
      <c r="C18" s="9" t="s">
        <v>55</v>
      </c>
      <c r="D18" s="9" t="s">
        <v>25</v>
      </c>
      <c r="E18" s="9" t="s">
        <v>56</v>
      </c>
      <c r="F18" s="9" t="s">
        <v>57</v>
      </c>
      <c r="G18" s="9" t="s">
        <v>28</v>
      </c>
      <c r="H18" s="9" t="s">
        <v>29</v>
      </c>
      <c r="I18" s="9" t="s">
        <v>30</v>
      </c>
      <c r="J18" s="9" t="s">
        <v>31</v>
      </c>
      <c r="K18" s="9" t="s">
        <v>58</v>
      </c>
      <c r="L18" s="9" t="s">
        <v>33</v>
      </c>
      <c r="M18" s="9" t="s">
        <v>61</v>
      </c>
      <c r="N18" s="9">
        <v>1</v>
      </c>
      <c r="O18" s="10">
        <v>0.08333333333333333</v>
      </c>
      <c r="P18" s="9" t="s">
        <v>46</v>
      </c>
      <c r="Q18" s="9" t="s">
        <v>25</v>
      </c>
      <c r="R18" s="9" t="s">
        <v>36</v>
      </c>
    </row>
    <row r="19" spans="1:18" x14ac:dyDescent="0.25">
      <c r="A19" s="8">
        <v>46205.125</v>
      </c>
      <c r="B19" s="9" t="s">
        <v>48</v>
      </c>
      <c r="C19" s="9" t="s">
        <v>62</v>
      </c>
      <c r="D19" s="9" t="s">
        <v>25</v>
      </c>
      <c r="E19" s="9" t="s">
        <v>63</v>
      </c>
      <c r="F19" s="9" t="s">
        <v>64</v>
      </c>
      <c r="G19" s="9" t="s">
        <v>28</v>
      </c>
      <c r="H19" s="9" t="s">
        <v>29</v>
      </c>
      <c r="I19" s="9" t="s">
        <v>30</v>
      </c>
      <c r="J19" s="9" t="s">
        <v>31</v>
      </c>
      <c r="K19" s="9" t="s">
        <v>65</v>
      </c>
      <c r="L19" s="9" t="s">
        <v>66</v>
      </c>
      <c r="M19" s="9" t="s">
        <v>67</v>
      </c>
      <c r="N19" s="9">
        <v>1</v>
      </c>
      <c r="O19" s="10">
        <v>0.10416666666666667</v>
      </c>
      <c r="P19" s="9" t="s">
        <v>46</v>
      </c>
      <c r="Q19" s="9" t="s">
        <v>25</v>
      </c>
      <c r="R19" s="9" t="s">
        <v>36</v>
      </c>
    </row>
    <row r="20" spans="1:18" x14ac:dyDescent="0.25">
      <c r="A20" s="8">
        <v>46206.125</v>
      </c>
      <c r="B20" s="9" t="s">
        <v>68</v>
      </c>
      <c r="C20" s="9" t="s">
        <v>62</v>
      </c>
      <c r="D20" s="9" t="s">
        <v>25</v>
      </c>
      <c r="E20" s="9" t="s">
        <v>63</v>
      </c>
      <c r="F20" s="9" t="s">
        <v>64</v>
      </c>
      <c r="G20" s="9" t="s">
        <v>28</v>
      </c>
      <c r="H20" s="9" t="s">
        <v>29</v>
      </c>
      <c r="I20" s="9" t="s">
        <v>30</v>
      </c>
      <c r="J20" s="9" t="s">
        <v>31</v>
      </c>
      <c r="K20" s="9" t="s">
        <v>65</v>
      </c>
      <c r="L20" s="9" t="s">
        <v>66</v>
      </c>
      <c r="M20" s="9" t="s">
        <v>69</v>
      </c>
      <c r="N20" s="9">
        <v>1</v>
      </c>
      <c r="O20" s="10">
        <v>0.08333333333333333</v>
      </c>
      <c r="P20" s="9" t="s">
        <v>46</v>
      </c>
      <c r="Q20" s="9" t="s">
        <v>25</v>
      </c>
      <c r="R20" s="9" t="s">
        <v>36</v>
      </c>
    </row>
  </sheetData>
  <autoFilter ref="A7:R7"/>
  <mergeCells count="5">
    <mergeCell ref="A1:R1"/>
    <mergeCell ref="A2:R2"/>
    <mergeCell ref="A3:R3"/>
    <mergeCell ref="A4:R4"/>
    <mergeCell ref="A5:R5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20" customWidth="1"/>
    <col min="5" max="5" width="18" customWidth="1"/>
    <col min="6" max="6" width="14" customWidth="1"/>
    <col min="7" max="7" width="12" customWidth="1"/>
    <col min="8" max="8" width="22" customWidth="1"/>
  </cols>
  <sheetData>
    <row r="1" spans="1:8" s="1" customFormat="1" x14ac:dyDescent="0.25">
      <c r="A1" s="1" t="s">
        <v>70</v>
      </c>
      <c r="B1" s="1"/>
      <c r="C1" s="1"/>
      <c r="D1" s="1"/>
      <c r="E1" s="1"/>
      <c r="F1" s="1"/>
      <c r="G1" s="1"/>
      <c r="H1" s="1"/>
    </row>
    <row r="3" spans="1:8" x14ac:dyDescent="0.25">
      <c r="A3" s="4" t="s">
        <v>5</v>
      </c>
      <c r="B3" s="4" t="s">
        <v>6</v>
      </c>
      <c r="C3" s="4" t="s">
        <v>7</v>
      </c>
      <c r="D3" s="4" t="s">
        <v>71</v>
      </c>
      <c r="E3" s="4" t="s">
        <v>19</v>
      </c>
      <c r="F3" s="4" t="s">
        <v>72</v>
      </c>
      <c r="G3" s="4" t="s">
        <v>73</v>
      </c>
      <c r="H3" s="4" t="s">
        <v>20</v>
      </c>
    </row>
    <row r="4" spans="1:8" x14ac:dyDescent="0.25">
      <c r="A4" s="8">
        <v>46202.125</v>
      </c>
      <c r="B4" s="9" t="s">
        <v>23</v>
      </c>
      <c r="C4" s="9" t="s">
        <v>24</v>
      </c>
      <c r="D4" s="10">
        <v>0.3333333333333333</v>
      </c>
      <c r="E4" s="10">
        <v>0.10416666666666667</v>
      </c>
      <c r="F4" s="11">
        <f>(D4-E4)*1440</f>
        <v>330</v>
      </c>
      <c r="G4" s="12">
        <f>E4/D4</f>
        <v>0.3125</v>
      </c>
      <c r="H4" s="9" t="s">
        <v>74</v>
      </c>
    </row>
    <row r="5" spans="1:8" x14ac:dyDescent="0.25">
      <c r="A5" s="8">
        <v>46203.125</v>
      </c>
      <c r="B5" s="9" t="s">
        <v>38</v>
      </c>
      <c r="C5" s="9" t="s">
        <v>24</v>
      </c>
      <c r="D5" s="10">
        <v>0.3333333333333333</v>
      </c>
      <c r="E5" s="10">
        <v>0.08333333333333333</v>
      </c>
      <c r="F5" s="11">
        <f>(D5-E5)*1440</f>
        <v>360</v>
      </c>
      <c r="G5" s="12">
        <f>E5/D5</f>
        <v>0.25</v>
      </c>
      <c r="H5" s="9" t="s">
        <v>74</v>
      </c>
    </row>
    <row r="6" spans="1:8" x14ac:dyDescent="0.25">
      <c r="A6" s="8">
        <v>46204.125</v>
      </c>
      <c r="B6" s="9" t="s">
        <v>41</v>
      </c>
      <c r="C6" s="9" t="s">
        <v>24</v>
      </c>
      <c r="D6" s="10">
        <v>0.3333333333333333</v>
      </c>
      <c r="E6" s="10">
        <v>0.2916666666666667</v>
      </c>
      <c r="F6" s="11">
        <f>(D6-E6)*1440</f>
        <v>60</v>
      </c>
      <c r="G6" s="12">
        <f>E6/D6</f>
        <v>0.875</v>
      </c>
      <c r="H6" s="9" t="s">
        <v>74</v>
      </c>
    </row>
    <row r="7" spans="1:8" x14ac:dyDescent="0.25">
      <c r="A7" s="8">
        <v>46205.125</v>
      </c>
      <c r="B7" s="9" t="s">
        <v>48</v>
      </c>
      <c r="C7" s="9" t="s">
        <v>24</v>
      </c>
      <c r="D7" s="10">
        <v>0.3333333333333333</v>
      </c>
      <c r="E7" s="10">
        <v>0.125</v>
      </c>
      <c r="F7" s="11">
        <f>(D7-E7)*1440</f>
        <v>300</v>
      </c>
      <c r="G7" s="12">
        <f>E7/D7</f>
        <v>0.375</v>
      </c>
      <c r="H7" s="9" t="s">
        <v>74</v>
      </c>
    </row>
    <row r="8" spans="1:8" x14ac:dyDescent="0.25">
      <c r="A8" s="8">
        <v>46202.125</v>
      </c>
      <c r="B8" s="9" t="s">
        <v>23</v>
      </c>
      <c r="C8" s="9" t="s">
        <v>50</v>
      </c>
      <c r="D8" s="10">
        <v>0.3333333333333333</v>
      </c>
      <c r="E8" s="10">
        <v>0.0625</v>
      </c>
      <c r="F8" s="11">
        <f>(D8-E8)*1440</f>
        <v>390</v>
      </c>
      <c r="G8" s="12">
        <f>E8/D8</f>
        <v>0.1875</v>
      </c>
      <c r="H8" s="9" t="s">
        <v>74</v>
      </c>
    </row>
    <row r="9" spans="1:8" x14ac:dyDescent="0.25">
      <c r="A9" s="8">
        <v>46203.125</v>
      </c>
      <c r="B9" s="9" t="s">
        <v>38</v>
      </c>
      <c r="C9" s="9" t="s">
        <v>50</v>
      </c>
      <c r="D9" s="10">
        <v>0.3333333333333333</v>
      </c>
      <c r="E9" s="10">
        <v>0.10416666666666667</v>
      </c>
      <c r="F9" s="11">
        <f>(D9-E9)*1440</f>
        <v>330</v>
      </c>
      <c r="G9" s="12">
        <f>E9/D9</f>
        <v>0.3125</v>
      </c>
      <c r="H9" s="9" t="s">
        <v>74</v>
      </c>
    </row>
    <row r="10" spans="1:8" x14ac:dyDescent="0.25">
      <c r="A10" s="8">
        <v>46205.125</v>
      </c>
      <c r="B10" s="9" t="s">
        <v>48</v>
      </c>
      <c r="C10" s="9" t="s">
        <v>50</v>
      </c>
      <c r="D10" s="10">
        <v>0.3333333333333333</v>
      </c>
      <c r="E10" s="10">
        <v>0.041666666666666664</v>
      </c>
      <c r="F10" s="11">
        <f>(D10-E10)*1440</f>
        <v>420</v>
      </c>
      <c r="G10" s="12">
        <f>E10/D10</f>
        <v>0.125</v>
      </c>
      <c r="H10" s="9" t="s">
        <v>74</v>
      </c>
    </row>
    <row r="11" spans="1:8" x14ac:dyDescent="0.25">
      <c r="A11" s="8">
        <v>46203.125</v>
      </c>
      <c r="B11" s="9" t="s">
        <v>38</v>
      </c>
      <c r="C11" s="9" t="s">
        <v>55</v>
      </c>
      <c r="D11" s="10">
        <v>0.3333333333333333</v>
      </c>
      <c r="E11" s="10">
        <v>0.041666666666666664</v>
      </c>
      <c r="F11" s="11">
        <f>(D11-E11)*1440</f>
        <v>420</v>
      </c>
      <c r="G11" s="12">
        <f>E11/D11</f>
        <v>0.125</v>
      </c>
      <c r="H11" s="9" t="s">
        <v>74</v>
      </c>
    </row>
    <row r="12" spans="1:8" x14ac:dyDescent="0.25">
      <c r="A12" s="8">
        <v>46204.125</v>
      </c>
      <c r="B12" s="9" t="s">
        <v>41</v>
      </c>
      <c r="C12" s="9" t="s">
        <v>55</v>
      </c>
      <c r="D12" s="10">
        <v>0.3333333333333333</v>
      </c>
      <c r="E12" s="10">
        <v>0.08333333333333333</v>
      </c>
      <c r="F12" s="11">
        <f>(D12-E12)*1440</f>
        <v>360</v>
      </c>
      <c r="G12" s="12">
        <f>E12/D12</f>
        <v>0.25</v>
      </c>
      <c r="H12" s="9" t="s">
        <v>74</v>
      </c>
    </row>
    <row r="13" spans="1:8" x14ac:dyDescent="0.25">
      <c r="A13" s="8">
        <v>46205.125</v>
      </c>
      <c r="B13" s="9" t="s">
        <v>48</v>
      </c>
      <c r="C13" s="9" t="s">
        <v>62</v>
      </c>
      <c r="D13" s="10">
        <v>0.3333333333333333</v>
      </c>
      <c r="E13" s="10">
        <v>0.10416666666666667</v>
      </c>
      <c r="F13" s="11">
        <f>(D13-E13)*1440</f>
        <v>330</v>
      </c>
      <c r="G13" s="12">
        <f>E13/D13</f>
        <v>0.3125</v>
      </c>
      <c r="H13" s="9" t="s">
        <v>74</v>
      </c>
    </row>
    <row r="14" spans="1:8" x14ac:dyDescent="0.25">
      <c r="A14" s="8">
        <v>46206.125</v>
      </c>
      <c r="B14" s="9" t="s">
        <v>68</v>
      </c>
      <c r="C14" s="9" t="s">
        <v>62</v>
      </c>
      <c r="D14" s="10">
        <v>0.3333333333333333</v>
      </c>
      <c r="E14" s="10">
        <v>0.08333333333333333</v>
      </c>
      <c r="F14" s="11">
        <f>(D14-E14)*1440</f>
        <v>360</v>
      </c>
      <c r="G14" s="12">
        <f>E14/D14</f>
        <v>0.25</v>
      </c>
      <c r="H14" s="9" t="s">
        <v>74</v>
      </c>
    </row>
  </sheetData>
  <autoFilter ref="A3:H3"/>
  <mergeCells count="1">
    <mergeCell ref="A1:H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Planejamento</vt:lpstr>
      <vt:lpstr>Capacidade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2026-10-07T00:38:59Z</dcterms:created>
  <dcterms:modified xsi:type="dcterms:W3CDTF">2026-10-07T00:38:59Z</dcterms:modified>
</cp:coreProperties>
</file>